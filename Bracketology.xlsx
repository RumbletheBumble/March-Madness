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3" sheetId="2" r:id="rId6"/>
    <sheet state="visible" name="2024" sheetId="3" r:id="rId7"/>
    <sheet state="visible" name="2025" sheetId="4" r:id="rId8"/>
    <sheet state="visible" name="Percentages" sheetId="5" r:id="rId9"/>
    <sheet state="visible" name="Wab2024" sheetId="6" r:id="rId10"/>
    <sheet state="visible" name="Wab2023" sheetId="7" r:id="rId11"/>
    <sheet state="visible" name="Wab2022" sheetId="8" r:id="rId12"/>
  </sheets>
  <definedNames>
    <definedName hidden="1" localSheetId="5" name="_xlnm._FilterDatabase">'Wab2024'!$H$1:$H$981</definedName>
    <definedName hidden="1" localSheetId="6" name="_xlnm._FilterDatabase">'Wab2023'!$C$1:$C$981</definedName>
    <definedName hidden="1" localSheetId="7" name="_xlnm._FilterDatabase">'Wab2022'!$H$1:$H$983</definedName>
  </definedNames>
  <calcPr/>
</workbook>
</file>

<file path=xl/sharedStrings.xml><?xml version="1.0" encoding="utf-8"?>
<sst xmlns="http://schemas.openxmlformats.org/spreadsheetml/2006/main" count="4364" uniqueCount="600">
  <si>
    <t>Round</t>
  </si>
  <si>
    <t>Match</t>
  </si>
  <si>
    <t>Team1</t>
  </si>
  <si>
    <t>Team2</t>
  </si>
  <si>
    <t>Winner</t>
  </si>
  <si>
    <t>NetRankWinner</t>
  </si>
  <si>
    <t>NRW</t>
  </si>
  <si>
    <t>NetRankAdjWinner</t>
  </si>
  <si>
    <t>NRAW</t>
  </si>
  <si>
    <t>AvgOppNetWinner</t>
  </si>
  <si>
    <t>AONW</t>
  </si>
  <si>
    <t>AvgOppNetAdjWinner</t>
  </si>
  <si>
    <t>AONAW</t>
  </si>
  <si>
    <t>NetSosWinner</t>
  </si>
  <si>
    <t>NSW</t>
  </si>
  <si>
    <t>NetSosAdjWinner</t>
  </si>
  <si>
    <t>NSAW</t>
  </si>
  <si>
    <t>WabWinner</t>
  </si>
  <si>
    <t>WW</t>
  </si>
  <si>
    <t>WabAdjWinner</t>
  </si>
  <si>
    <t>WAW</t>
  </si>
  <si>
    <t>Round of 64</t>
  </si>
  <si>
    <t>Gonzaga</t>
  </si>
  <si>
    <t>Georgia State</t>
  </si>
  <si>
    <t>Boise State</t>
  </si>
  <si>
    <t>Memphis</t>
  </si>
  <si>
    <t>UConn</t>
  </si>
  <si>
    <t>New Mexico State</t>
  </si>
  <si>
    <t>Arkansas</t>
  </si>
  <si>
    <t>Vermont</t>
  </si>
  <si>
    <t>Alabama</t>
  </si>
  <si>
    <t>Notre Dame</t>
  </si>
  <si>
    <t>Texas Tech</t>
  </si>
  <si>
    <t>Montana State</t>
  </si>
  <si>
    <t>Michigan State</t>
  </si>
  <si>
    <t>Davidson</t>
  </si>
  <si>
    <t>Duke</t>
  </si>
  <si>
    <t>Cal State Fullerton</t>
  </si>
  <si>
    <t>Baylor</t>
  </si>
  <si>
    <t>Norfolk State</t>
  </si>
  <si>
    <t>North Carolina</t>
  </si>
  <si>
    <t>Marquette</t>
  </si>
  <si>
    <t>0rth Carolina</t>
  </si>
  <si>
    <t>Saint Mary's</t>
  </si>
  <si>
    <t>Indiana</t>
  </si>
  <si>
    <t>UCLA</t>
  </si>
  <si>
    <t>Akron</t>
  </si>
  <si>
    <t>Texas</t>
  </si>
  <si>
    <t>Virginia Tech</t>
  </si>
  <si>
    <t>Purdue</t>
  </si>
  <si>
    <t>Yale</t>
  </si>
  <si>
    <t>Murray State</t>
  </si>
  <si>
    <t>San Francisco</t>
  </si>
  <si>
    <t>Kentucky</t>
  </si>
  <si>
    <t>Saint Peter's</t>
  </si>
  <si>
    <t>Arizona</t>
  </si>
  <si>
    <t>Wright State</t>
  </si>
  <si>
    <t>Seton Hall</t>
  </si>
  <si>
    <t>TCU</t>
  </si>
  <si>
    <t>Houston</t>
  </si>
  <si>
    <t>UAB</t>
  </si>
  <si>
    <t>IlliNois</t>
  </si>
  <si>
    <t>ChattaNooga</t>
  </si>
  <si>
    <t>Illi0is</t>
  </si>
  <si>
    <t>Colorado State</t>
  </si>
  <si>
    <t>Michigan</t>
  </si>
  <si>
    <t>Tennessee</t>
  </si>
  <si>
    <t>Longwood</t>
  </si>
  <si>
    <t>Ohio State</t>
  </si>
  <si>
    <t>Loyola Chicago</t>
  </si>
  <si>
    <t>VillaNova</t>
  </si>
  <si>
    <t>Delaware</t>
  </si>
  <si>
    <t>Villa0va</t>
  </si>
  <si>
    <t>Kansas</t>
  </si>
  <si>
    <t>Texas Southern</t>
  </si>
  <si>
    <t>San Diego State</t>
  </si>
  <si>
    <t>Creighton</t>
  </si>
  <si>
    <t>Iowa</t>
  </si>
  <si>
    <t>Richmond</t>
  </si>
  <si>
    <t>Providence</t>
  </si>
  <si>
    <t>South Dakota State</t>
  </si>
  <si>
    <t>LSU</t>
  </si>
  <si>
    <t>Iowa State</t>
  </si>
  <si>
    <t>Wisconsin</t>
  </si>
  <si>
    <t>Colgate</t>
  </si>
  <si>
    <t>USC</t>
  </si>
  <si>
    <t>Miami (FL)</t>
  </si>
  <si>
    <t>Auburn</t>
  </si>
  <si>
    <t>Jacksonville State</t>
  </si>
  <si>
    <t>Round of 32</t>
  </si>
  <si>
    <t>Sweet 16</t>
  </si>
  <si>
    <t>Elite 8</t>
  </si>
  <si>
    <t>Final 4</t>
  </si>
  <si>
    <t>Championship</t>
  </si>
  <si>
    <t>Texas A&amp;M-CC</t>
  </si>
  <si>
    <t>Maryland</t>
  </si>
  <si>
    <t>West Virginia</t>
  </si>
  <si>
    <t>Charleston</t>
  </si>
  <si>
    <t>Virginia</t>
  </si>
  <si>
    <t>Furman</t>
  </si>
  <si>
    <t>NC State</t>
  </si>
  <si>
    <t>UCSB</t>
  </si>
  <si>
    <t>Missouri</t>
  </si>
  <si>
    <t>Utah State</t>
  </si>
  <si>
    <t>Princeton</t>
  </si>
  <si>
    <t>FDU</t>
  </si>
  <si>
    <t>FAU</t>
  </si>
  <si>
    <t>Oral Roberts</t>
  </si>
  <si>
    <t>Louisiana</t>
  </si>
  <si>
    <t>Kansas State</t>
  </si>
  <si>
    <t>North Kentucky</t>
  </si>
  <si>
    <t>Drake</t>
  </si>
  <si>
    <t>Kent State</t>
  </si>
  <si>
    <t>Pitt</t>
  </si>
  <si>
    <t>Xavier</t>
  </si>
  <si>
    <t>Kennesaw State</t>
  </si>
  <si>
    <t>Texas A&amp;M</t>
  </si>
  <si>
    <t>Penn State</t>
  </si>
  <si>
    <t>Howard</t>
  </si>
  <si>
    <t>VCU</t>
  </si>
  <si>
    <t>Iona</t>
  </si>
  <si>
    <t>Arizona State</t>
  </si>
  <si>
    <t>Grand Canyon</t>
  </si>
  <si>
    <t>Northwestern</t>
  </si>
  <si>
    <t>0rthwestern</t>
  </si>
  <si>
    <t>UNC Asheville</t>
  </si>
  <si>
    <t>Stetson</t>
  </si>
  <si>
    <t>BYU</t>
  </si>
  <si>
    <t>Duquesne</t>
  </si>
  <si>
    <t>Morehead State</t>
  </si>
  <si>
    <t>Washington State</t>
  </si>
  <si>
    <t>Wagner</t>
  </si>
  <si>
    <t>Mississippi State</t>
  </si>
  <si>
    <t>Clemson</t>
  </si>
  <si>
    <t>New Mexico</t>
  </si>
  <si>
    <t>Dayton</t>
  </si>
  <si>
    <t>Nevada</t>
  </si>
  <si>
    <t>Long Beach State</t>
  </si>
  <si>
    <t>Nebraska</t>
  </si>
  <si>
    <t>James Madison</t>
  </si>
  <si>
    <t>Oakland</t>
  </si>
  <si>
    <t>Florida</t>
  </si>
  <si>
    <t>Colorado</t>
  </si>
  <si>
    <t>Western Kentucky</t>
  </si>
  <si>
    <t>Grambling State</t>
  </si>
  <si>
    <t>Utah Stae</t>
  </si>
  <si>
    <t>McNeese State</t>
  </si>
  <si>
    <t>Samford</t>
  </si>
  <si>
    <t>South Carolina</t>
  </si>
  <si>
    <t>Oregon</t>
  </si>
  <si>
    <t>Duquense</t>
  </si>
  <si>
    <t>Alabama State</t>
  </si>
  <si>
    <t>Louisville</t>
  </si>
  <si>
    <t>Ole Miss</t>
  </si>
  <si>
    <t>Lipscomb</t>
  </si>
  <si>
    <t>Bryant</t>
  </si>
  <si>
    <t>Oklahoma</t>
  </si>
  <si>
    <t>UNC Wilmington</t>
  </si>
  <si>
    <t>Saint John's</t>
  </si>
  <si>
    <t>Omaha</t>
  </si>
  <si>
    <t>Mount Saint Mary's</t>
  </si>
  <si>
    <t>Liberty</t>
  </si>
  <si>
    <t>Montana</t>
  </si>
  <si>
    <t>Vanderbilt</t>
  </si>
  <si>
    <t>Robert Morris</t>
  </si>
  <si>
    <t>SIUE</t>
  </si>
  <si>
    <t>Georgia</t>
  </si>
  <si>
    <t>High Point</t>
  </si>
  <si>
    <t>Troy</t>
  </si>
  <si>
    <t>Wofford</t>
  </si>
  <si>
    <t>Ro64</t>
  </si>
  <si>
    <t>Ro32</t>
  </si>
  <si>
    <t>Sweet16</t>
  </si>
  <si>
    <t>Elite8</t>
  </si>
  <si>
    <t>Final4</t>
  </si>
  <si>
    <t>Overall</t>
  </si>
  <si>
    <t>Score</t>
  </si>
  <si>
    <t>Coefficients</t>
  </si>
  <si>
    <t>NetRank</t>
  </si>
  <si>
    <t>NetRankAdj</t>
  </si>
  <si>
    <t>AvgOppNet</t>
  </si>
  <si>
    <t>AvgOppNetAdj</t>
  </si>
  <si>
    <t>NetSos</t>
  </si>
  <si>
    <t>NetSosAdj</t>
  </si>
  <si>
    <t>Wab</t>
  </si>
  <si>
    <t>WabAdj</t>
  </si>
  <si>
    <t>Averages</t>
  </si>
  <si>
    <t>Rk</t>
  </si>
  <si>
    <t>Team</t>
  </si>
  <si>
    <t>NetRtg</t>
  </si>
  <si>
    <t>ORtg</t>
  </si>
  <si>
    <t>DRtg</t>
  </si>
  <si>
    <t>AvgWin</t>
  </si>
  <si>
    <t>BubbleWin</t>
  </si>
  <si>
    <t>Wins</t>
  </si>
  <si>
    <t>Purdue 1</t>
  </si>
  <si>
    <t>Connecticut 1</t>
  </si>
  <si>
    <t>Houston 1</t>
  </si>
  <si>
    <t>North Carolina 1</t>
  </si>
  <si>
    <t>Iowa St. 2</t>
  </si>
  <si>
    <t>Marquette 2</t>
  </si>
  <si>
    <t>IlliNois 3</t>
  </si>
  <si>
    <t>San Diego St. 5</t>
  </si>
  <si>
    <t>Tennessee 2</t>
  </si>
  <si>
    <t>Auburn 4</t>
  </si>
  <si>
    <t>Arizona 2</t>
  </si>
  <si>
    <t>South Carolina 6</t>
  </si>
  <si>
    <t>Baylor 3</t>
  </si>
  <si>
    <t>Creighton 3</t>
  </si>
  <si>
    <t>Kansas 4</t>
  </si>
  <si>
    <t>Duke 4</t>
  </si>
  <si>
    <t>Utah St. 8</t>
  </si>
  <si>
    <t>Alabama 4</t>
  </si>
  <si>
    <t>Texas Tech 6</t>
  </si>
  <si>
    <t>Kentucky 3</t>
  </si>
  <si>
    <t>St. John's</t>
  </si>
  <si>
    <t>Wisconsin 5</t>
  </si>
  <si>
    <t>Nevada 1No</t>
  </si>
  <si>
    <t>BYU 6</t>
  </si>
  <si>
    <t>Florida 7</t>
  </si>
  <si>
    <t>Grand Canyon 12</t>
  </si>
  <si>
    <t>Gonzaga 5</t>
  </si>
  <si>
    <t>Wake Forest</t>
  </si>
  <si>
    <t>Dayton 7</t>
  </si>
  <si>
    <t>Saint Mary's 5</t>
  </si>
  <si>
    <t>Nebraska 8</t>
  </si>
  <si>
    <t>New Mexico 11</t>
  </si>
  <si>
    <t>Pittsburgh</t>
  </si>
  <si>
    <t>Washington St. 7</t>
  </si>
  <si>
    <t>James Madison 12</t>
  </si>
  <si>
    <t>Drake 1No</t>
  </si>
  <si>
    <t>Indiana St.</t>
  </si>
  <si>
    <t>Cincinnati</t>
  </si>
  <si>
    <t>Colorado 1No</t>
  </si>
  <si>
    <t>Colorado St. 1No</t>
  </si>
  <si>
    <t>Florida Atlantic 8</t>
  </si>
  <si>
    <t>Oregon 11</t>
  </si>
  <si>
    <t>Boise St. 1No</t>
  </si>
  <si>
    <t>Northwestern 9</t>
  </si>
  <si>
    <t>Clemson 6</t>
  </si>
  <si>
    <t>Utah</t>
  </si>
  <si>
    <t>Ohio St.</t>
  </si>
  <si>
    <t>Texas 7</t>
  </si>
  <si>
    <t>McNeese St. 12</t>
  </si>
  <si>
    <t>TCU 9</t>
  </si>
  <si>
    <t>Samford 13</t>
  </si>
  <si>
    <t>Mississippi St. 8</t>
  </si>
  <si>
    <t>Washington</t>
  </si>
  <si>
    <t>Butler</t>
  </si>
  <si>
    <t>Michigan St. 9</t>
  </si>
  <si>
    <t>Bradley</t>
  </si>
  <si>
    <t>UCF</t>
  </si>
  <si>
    <t>N.C. State 11</t>
  </si>
  <si>
    <t>Virginia 1No</t>
  </si>
  <si>
    <t>Kansas St.</t>
  </si>
  <si>
    <t>Boston College</t>
  </si>
  <si>
    <t>SMU</t>
  </si>
  <si>
    <t>UNLV</t>
  </si>
  <si>
    <t>North Texas</t>
  </si>
  <si>
    <t>Penn St.</t>
  </si>
  <si>
    <t>Minnesota</t>
  </si>
  <si>
    <t>Florida St.</t>
  </si>
  <si>
    <t>Syracuse</t>
  </si>
  <si>
    <t>Texas A&amp;M 9</t>
  </si>
  <si>
    <t>UC Irvine</t>
  </si>
  <si>
    <t>Appalachian St.</t>
  </si>
  <si>
    <t>Mississippi</t>
  </si>
  <si>
    <t>South Florida</t>
  </si>
  <si>
    <t>Vermont 13</t>
  </si>
  <si>
    <t>Charleston 13</t>
  </si>
  <si>
    <t>Massachusetts</t>
  </si>
  <si>
    <t>Louisiana Tech</t>
  </si>
  <si>
    <t>Miami FL</t>
  </si>
  <si>
    <t>George Mason</t>
  </si>
  <si>
    <t>Saint Joseph's</t>
  </si>
  <si>
    <t>Rutgers</t>
  </si>
  <si>
    <t>Duquesne 11</t>
  </si>
  <si>
    <t>St. Bonaventure</t>
  </si>
  <si>
    <t>Cornell</t>
  </si>
  <si>
    <t>UAB 12</t>
  </si>
  <si>
    <t>Stanford</t>
  </si>
  <si>
    <t>Yale 13</t>
  </si>
  <si>
    <t>Seattle</t>
  </si>
  <si>
    <t>Santa Clara</t>
  </si>
  <si>
    <t>Western Carolina</t>
  </si>
  <si>
    <t>Northern Iowa</t>
  </si>
  <si>
    <t>UT Arlington</t>
  </si>
  <si>
    <t>Hofstra</t>
  </si>
  <si>
    <t>Belmont</t>
  </si>
  <si>
    <t>Oakland 14</t>
  </si>
  <si>
    <t>Oklahoma St.</t>
  </si>
  <si>
    <t>Charlotte</t>
  </si>
  <si>
    <t>California</t>
  </si>
  <si>
    <t>Morehead St. 14</t>
  </si>
  <si>
    <t>Georgia Tech</t>
  </si>
  <si>
    <t>Southern IlliNois</t>
  </si>
  <si>
    <t>Drexel</t>
  </si>
  <si>
    <t>Arizona St.</t>
  </si>
  <si>
    <t>Tarleton St.</t>
  </si>
  <si>
    <t>UC San Diego</t>
  </si>
  <si>
    <t>Akron 14</t>
  </si>
  <si>
    <t>Arkansas St.</t>
  </si>
  <si>
    <t>Youngstown St.</t>
  </si>
  <si>
    <t>Colgate 14</t>
  </si>
  <si>
    <t>Tulane</t>
  </si>
  <si>
    <t>Western Kentucky 15</t>
  </si>
  <si>
    <t>Toledo</t>
  </si>
  <si>
    <t>Sam Houston St.</t>
  </si>
  <si>
    <t>Ohio</t>
  </si>
  <si>
    <t>Towson</t>
  </si>
  <si>
    <t>UNC Greensboro</t>
  </si>
  <si>
    <t>St. Thomas</t>
  </si>
  <si>
    <t>Missouri St.</t>
  </si>
  <si>
    <t>Stetson 16</t>
  </si>
  <si>
    <t>Eastern Washington</t>
  </si>
  <si>
    <t>UMass Lowell</t>
  </si>
  <si>
    <t>Wichita St.</t>
  </si>
  <si>
    <t>Oregon St.</t>
  </si>
  <si>
    <t>Weber St.</t>
  </si>
  <si>
    <t>Purdue Fort Wayne</t>
  </si>
  <si>
    <t>Wright St.</t>
  </si>
  <si>
    <t>Wyoming</t>
  </si>
  <si>
    <t>Murray St.</t>
  </si>
  <si>
    <t>South Dakota St. 15</t>
  </si>
  <si>
    <t>Utah Valley</t>
  </si>
  <si>
    <t>Long Beach St. 15</t>
  </si>
  <si>
    <t>Hawaii</t>
  </si>
  <si>
    <t>Stony Brook</t>
  </si>
  <si>
    <t>Stephen F. Austin</t>
  </si>
  <si>
    <t>Kent St.</t>
  </si>
  <si>
    <t>Quinnipiac</t>
  </si>
  <si>
    <t>East Tennessee St.</t>
  </si>
  <si>
    <t>Fairfield</t>
  </si>
  <si>
    <t>Winthrop</t>
  </si>
  <si>
    <t>UC Davis</t>
  </si>
  <si>
    <t>UTEP</t>
  </si>
  <si>
    <t>IlliNois St.</t>
  </si>
  <si>
    <t>Texas St.</t>
  </si>
  <si>
    <t>Temple</t>
  </si>
  <si>
    <t>Texas A&amp;M Corpus Chris</t>
  </si>
  <si>
    <t>Tulsa</t>
  </si>
  <si>
    <t>Northern Kentucky</t>
  </si>
  <si>
    <t>Loyola Marymount</t>
  </si>
  <si>
    <t>Fordham</t>
  </si>
  <si>
    <t>East Carolina</t>
  </si>
  <si>
    <t>Cal Baptist</t>
  </si>
  <si>
    <t>Brown</t>
  </si>
  <si>
    <t>Georgetown</t>
  </si>
  <si>
    <t>Little Rock</t>
  </si>
  <si>
    <t>La Salle</t>
  </si>
  <si>
    <t>IlliNois Chicago</t>
  </si>
  <si>
    <t>Cleveland St.</t>
  </si>
  <si>
    <t>Monmouth</t>
  </si>
  <si>
    <t>Saint Louis</t>
  </si>
  <si>
    <t>Jacksonville St.</t>
  </si>
  <si>
    <t>Longwood 16</t>
  </si>
  <si>
    <t>Northern Colorado</t>
  </si>
  <si>
    <t>George Washington</t>
  </si>
  <si>
    <t>Gardner Webb</t>
  </si>
  <si>
    <t>UC Santa Barbara</t>
  </si>
  <si>
    <t>Rhode Island</t>
  </si>
  <si>
    <t>Abilene Christian</t>
  </si>
  <si>
    <t>Evansville</t>
  </si>
  <si>
    <t>Mercer</t>
  </si>
  <si>
    <t>Lamar</t>
  </si>
  <si>
    <t>Eastern Kentucky</t>
  </si>
  <si>
    <t>Merrimack</t>
  </si>
  <si>
    <t>Penn</t>
  </si>
  <si>
    <t>UMKC</t>
  </si>
  <si>
    <t>Marist</t>
  </si>
  <si>
    <t>Tennessee Martin</t>
  </si>
  <si>
    <t>UC Riverside</t>
  </si>
  <si>
    <t>Georgia St.</t>
  </si>
  <si>
    <t>Norfolk St.</t>
  </si>
  <si>
    <t>Grambling St. 16</t>
  </si>
  <si>
    <t>South Alabama</t>
  </si>
  <si>
    <t>Milwaukee</t>
  </si>
  <si>
    <t>Montana St. 16</t>
  </si>
  <si>
    <t>Pepperdine</t>
  </si>
  <si>
    <t>Rider</t>
  </si>
  <si>
    <t>Radford</t>
  </si>
  <si>
    <t>Harvard</t>
  </si>
  <si>
    <t>Rice</t>
  </si>
  <si>
    <t>Green Bay</t>
  </si>
  <si>
    <t>Maine</t>
  </si>
  <si>
    <t>Columbia</t>
  </si>
  <si>
    <t>Cal St. Northridge</t>
  </si>
  <si>
    <t>Nicholls St.</t>
  </si>
  <si>
    <t>Cal St. Fullerton</t>
  </si>
  <si>
    <t>North Dakota</t>
  </si>
  <si>
    <t>FresNo St.</t>
  </si>
  <si>
    <t>Marshall</t>
  </si>
  <si>
    <t>Bowling Green</t>
  </si>
  <si>
    <t>North Florida</t>
  </si>
  <si>
    <t>Florida Gulf Coast</t>
  </si>
  <si>
    <t>Southern Utah</t>
  </si>
  <si>
    <t>Southern Miss</t>
  </si>
  <si>
    <t>Albany</t>
  </si>
  <si>
    <t>Austin Peay</t>
  </si>
  <si>
    <t>New Hampshire</t>
  </si>
  <si>
    <t>Cal St. Bakersfield</t>
  </si>
  <si>
    <t>San Jose St.</t>
  </si>
  <si>
    <t>Mount St. Mary's</t>
  </si>
  <si>
    <t>Northeastern</t>
  </si>
  <si>
    <t>Portland St.</t>
  </si>
  <si>
    <t>North Alabama</t>
  </si>
  <si>
    <t>North Carolina Central</t>
  </si>
  <si>
    <t>UTSA</t>
  </si>
  <si>
    <t>The Citadel</t>
  </si>
  <si>
    <t>San Diego</t>
  </si>
  <si>
    <t>Miami OH</t>
  </si>
  <si>
    <t>Idaho St.</t>
  </si>
  <si>
    <t>Saint Peter's 15</t>
  </si>
  <si>
    <t>Nebraska Omaha</t>
  </si>
  <si>
    <t>Southern</t>
  </si>
  <si>
    <t>Central Connecticut</t>
  </si>
  <si>
    <t>Lehigh</t>
  </si>
  <si>
    <t>Air Force</t>
  </si>
  <si>
    <t>Kennesaw St.</t>
  </si>
  <si>
    <t>Ball St.</t>
  </si>
  <si>
    <t>Denver</t>
  </si>
  <si>
    <t>Queens</t>
  </si>
  <si>
    <t>Western IlliNois</t>
  </si>
  <si>
    <t>Presbyterian</t>
  </si>
  <si>
    <t>Niagara</t>
  </si>
  <si>
    <t>Jacksonville</t>
  </si>
  <si>
    <t>UMBC</t>
  </si>
  <si>
    <t>Howard 16</t>
  </si>
  <si>
    <t>Bucknell</t>
  </si>
  <si>
    <t>Central Michigan</t>
  </si>
  <si>
    <t>Canisius</t>
  </si>
  <si>
    <t>North Dakota St.</t>
  </si>
  <si>
    <t>Georgia Southern</t>
  </si>
  <si>
    <t>Utah Tech</t>
  </si>
  <si>
    <t>Middle Tennessee</t>
  </si>
  <si>
    <t>Binghamton</t>
  </si>
  <si>
    <t>FIU</t>
  </si>
  <si>
    <t>SIU Edwardsville</t>
  </si>
  <si>
    <t>Old Dominion</t>
  </si>
  <si>
    <t>USC Upstate</t>
  </si>
  <si>
    <t>Delaware St.</t>
  </si>
  <si>
    <t>New Mexico St.</t>
  </si>
  <si>
    <t>Tennessee St.</t>
  </si>
  <si>
    <t>Wagner 16</t>
  </si>
  <si>
    <t>Sacred Heart</t>
  </si>
  <si>
    <t>Alcorn St.</t>
  </si>
  <si>
    <t>Chicago St.</t>
  </si>
  <si>
    <t>American</t>
  </si>
  <si>
    <t>Boston University</t>
  </si>
  <si>
    <t>Louisiana Monroe</t>
  </si>
  <si>
    <t>Portland</t>
  </si>
  <si>
    <t>Valparaiso</t>
  </si>
  <si>
    <t>South Carolina St.</t>
  </si>
  <si>
    <t>Le Moyne</t>
  </si>
  <si>
    <t>Bethune Cookman</t>
  </si>
  <si>
    <t>DePaul</t>
  </si>
  <si>
    <t>Western Michigan</t>
  </si>
  <si>
    <t>Southeastern Louisiana</t>
  </si>
  <si>
    <t>Northern IlliNois</t>
  </si>
  <si>
    <t>Jackson St.</t>
  </si>
  <si>
    <t>Alabama St.</t>
  </si>
  <si>
    <t>Campbell</t>
  </si>
  <si>
    <t>Northern Arizona</t>
  </si>
  <si>
    <t>Coastal Carolina</t>
  </si>
  <si>
    <t>Sacramento St.</t>
  </si>
  <si>
    <t>Charleston Southern</t>
  </si>
  <si>
    <t>Bellarmine</t>
  </si>
  <si>
    <t>Elon</t>
  </si>
  <si>
    <t>Lafayette</t>
  </si>
  <si>
    <t>William &amp; Mary</t>
  </si>
  <si>
    <t>Eastern IlliNois</t>
  </si>
  <si>
    <t>Idaho</t>
  </si>
  <si>
    <t>South Dakota</t>
  </si>
  <si>
    <t>Navy</t>
  </si>
  <si>
    <t>Alabama A&amp;M</t>
  </si>
  <si>
    <t>Northwestern St.</t>
  </si>
  <si>
    <t>Eastern Michigan</t>
  </si>
  <si>
    <t>Fairleigh Dickinson</t>
  </si>
  <si>
    <t>Southern Indiana</t>
  </si>
  <si>
    <t>UT Rio Grande Valley</t>
  </si>
  <si>
    <t>Prairie View A&amp;M</t>
  </si>
  <si>
    <t>Arkansas Pine Bluff</t>
  </si>
  <si>
    <t>Tennessee Tech</t>
  </si>
  <si>
    <t>Texas A&amp;M Commerce</t>
  </si>
  <si>
    <t>Morgan St.</t>
  </si>
  <si>
    <t>NJIT</t>
  </si>
  <si>
    <t>Dartmouth</t>
  </si>
  <si>
    <t>Manhattan</t>
  </si>
  <si>
    <t>Florida A&amp;M</t>
  </si>
  <si>
    <t>Cal Poly</t>
  </si>
  <si>
    <t>Central Arkansas</t>
  </si>
  <si>
    <t>Hampton</t>
  </si>
  <si>
    <t>New Orleans</t>
  </si>
  <si>
    <t>LIU</t>
  </si>
  <si>
    <t>Army</t>
  </si>
  <si>
    <t>Incarnate Word</t>
  </si>
  <si>
    <t>North Carolina A&amp;T</t>
  </si>
  <si>
    <t>Maryland Eastern Shore</t>
  </si>
  <si>
    <t>Buffalo</t>
  </si>
  <si>
    <t>Holy Cross</t>
  </si>
  <si>
    <t>Loyola MD</t>
  </si>
  <si>
    <t>Detroit Mercy</t>
  </si>
  <si>
    <t>Southeast Missouri St.</t>
  </si>
  <si>
    <t>VMI</t>
  </si>
  <si>
    <t>Saint Francis</t>
  </si>
  <si>
    <t>Houston Christian</t>
  </si>
  <si>
    <t>Lindenwood</t>
  </si>
  <si>
    <t>Siena</t>
  </si>
  <si>
    <t>Pacific</t>
  </si>
  <si>
    <t>Stonehill</t>
  </si>
  <si>
    <t>IUPUI</t>
  </si>
  <si>
    <t>Coppin St.</t>
  </si>
  <si>
    <t>Mississippi Valley St.</t>
  </si>
  <si>
    <t>Tourney</t>
  </si>
  <si>
    <t>Bubble Win</t>
  </si>
  <si>
    <t>Yes</t>
  </si>
  <si>
    <t>Connecticut</t>
  </si>
  <si>
    <t>Saint Mary's (CA)</t>
  </si>
  <si>
    <t>Florida Atlantic</t>
  </si>
  <si>
    <t>College of Charleston</t>
  </si>
  <si>
    <t>Southern California</t>
  </si>
  <si>
    <t>Virginia Commonwealth</t>
  </si>
  <si>
    <t>Oklahoma State</t>
  </si>
  <si>
    <t>Sam Houston</t>
  </si>
  <si>
    <t>Brigham Young</t>
  </si>
  <si>
    <t>St. John's (NY)</t>
  </si>
  <si>
    <t>Nevada-Las Vegas</t>
  </si>
  <si>
    <t>San Jose State</t>
  </si>
  <si>
    <t>Southern Mississippi</t>
  </si>
  <si>
    <t>Indiana State</t>
  </si>
  <si>
    <t>Wichita State</t>
  </si>
  <si>
    <t>Pennsylvania</t>
  </si>
  <si>
    <t>Youngstown State</t>
  </si>
  <si>
    <t>Massachusetts-Lowell</t>
  </si>
  <si>
    <t>FresNo State</t>
  </si>
  <si>
    <t>Louisiana State</t>
  </si>
  <si>
    <t>California Baptist</t>
  </si>
  <si>
    <t>Missouri State</t>
  </si>
  <si>
    <t>Tarleton State</t>
  </si>
  <si>
    <t>Ball State</t>
  </si>
  <si>
    <t>Texas A&amp;M-Corpus Christi</t>
  </si>
  <si>
    <t>Appalachian State</t>
  </si>
  <si>
    <t>Grambling</t>
  </si>
  <si>
    <t>Southern Methodist</t>
  </si>
  <si>
    <t>Texas State</t>
  </si>
  <si>
    <t>Cleveland State</t>
  </si>
  <si>
    <t>Weber State</t>
  </si>
  <si>
    <t>Queens (NC)</t>
  </si>
  <si>
    <t>Gardner-Webb</t>
  </si>
  <si>
    <t>Florida State</t>
  </si>
  <si>
    <t>Florida International</t>
  </si>
  <si>
    <t>Oregon State</t>
  </si>
  <si>
    <t>Northwestern State</t>
  </si>
  <si>
    <t>North Dakota State</t>
  </si>
  <si>
    <t>Sacramento State</t>
  </si>
  <si>
    <t>Portland State</t>
  </si>
  <si>
    <t>East Tennessee State</t>
  </si>
  <si>
    <t>Idaho State</t>
  </si>
  <si>
    <t>Texas-Rio Grande Valley</t>
  </si>
  <si>
    <t>Alcorn State</t>
  </si>
  <si>
    <t>Maryland-Eastern Shore</t>
  </si>
  <si>
    <t>Maryland-Baltimore County</t>
  </si>
  <si>
    <t>Loyola (IL)</t>
  </si>
  <si>
    <t>South Carolina Upstate</t>
  </si>
  <si>
    <t>Southeast Missouri State</t>
  </si>
  <si>
    <t>Nicholls State</t>
  </si>
  <si>
    <t>Miami (OH)</t>
  </si>
  <si>
    <t>Prairie View</t>
  </si>
  <si>
    <t>Tennessee-Martin</t>
  </si>
  <si>
    <t>Louisiana-Monroe</t>
  </si>
  <si>
    <t>Bowling Green State</t>
  </si>
  <si>
    <t>Arkansas State</t>
  </si>
  <si>
    <t>IlliNois State</t>
  </si>
  <si>
    <t>Tennessee State</t>
  </si>
  <si>
    <t>Chicago State</t>
  </si>
  <si>
    <t>Cal State Bakersfield</t>
  </si>
  <si>
    <t>IlliNois-Chicago</t>
  </si>
  <si>
    <t>Jackson State</t>
  </si>
  <si>
    <t>East Texas A&amp;M</t>
  </si>
  <si>
    <t>Kansas City</t>
  </si>
  <si>
    <t>Morgan State</t>
  </si>
  <si>
    <t>Arkansas-Pine Bluff</t>
  </si>
  <si>
    <t>Loyola (MD)</t>
  </si>
  <si>
    <t>Cal State Northridge</t>
  </si>
  <si>
    <t>Saint Francis (PA)</t>
  </si>
  <si>
    <t>Coppin State</t>
  </si>
  <si>
    <t>Central Connecticut State</t>
  </si>
  <si>
    <t>South Carolina State</t>
  </si>
  <si>
    <t>Albany (NY)</t>
  </si>
  <si>
    <t>Bethune-Cookman</t>
  </si>
  <si>
    <t>St. Francis (NY)</t>
  </si>
  <si>
    <t>Delaware State</t>
  </si>
  <si>
    <t>Mississippi Valley State</t>
  </si>
  <si>
    <t>IU Indy</t>
  </si>
  <si>
    <t>Hartford</t>
  </si>
  <si>
    <t>Long Island University</t>
  </si>
  <si>
    <t>Virginia Military Institute</t>
  </si>
  <si>
    <t>Dixie State</t>
  </si>
  <si>
    <t>Southern IlliNois-Edwardsville</t>
  </si>
  <si>
    <t>Houston Baptist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</si>
</sst>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"/>
    <numFmt numFmtId="165" formatCode="0.00000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2" xfId="0" applyAlignment="1" applyFont="1" applyNumberFormat="1">
      <alignment readingOrder="0"/>
    </xf>
    <xf borderId="0" fillId="0" fontId="2" numFmtId="10" xfId="0" applyFont="1" applyNumberFormat="1"/>
    <xf borderId="0" fillId="0" fontId="2" numFmtId="2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hidden="1" min="1" max="2" width="12.63"/>
    <col customWidth="1" min="3" max="3" width="14.63"/>
    <col customWidth="1" min="4" max="4" width="15.5"/>
    <col customWidth="1" min="5" max="5" width="14.38"/>
    <col customWidth="1" min="6" max="6" width="13.38"/>
    <col customWidth="1" min="7" max="7" width="5.0"/>
    <col customWidth="1" min="8" max="8" width="16.13"/>
    <col customWidth="1" min="9" max="9" width="6.13"/>
    <col customWidth="1" min="10" max="10" width="15.75"/>
    <col customWidth="1" min="11" max="11" width="6.25"/>
    <col customWidth="1" min="12" max="12" width="18.38"/>
    <col customWidth="1" min="13" max="13" width="7.38"/>
    <col customWidth="1" min="14" max="14" width="13.63"/>
    <col customWidth="1" min="15" max="15" width="4.88"/>
    <col customWidth="1" min="16" max="16" width="15.0"/>
    <col customWidth="1" min="17" max="17" width="6.0"/>
    <col customWidth="1" min="18" max="18" width="13.13"/>
    <col customWidth="1" min="19" max="19" width="4.13"/>
    <col customWidth="1" min="21" max="21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21</v>
      </c>
      <c r="B2" s="3">
        <v>1.0</v>
      </c>
      <c r="C2" s="3" t="s">
        <v>22</v>
      </c>
      <c r="D2" s="3" t="s">
        <v>23</v>
      </c>
      <c r="E2" s="3" t="s">
        <v>22</v>
      </c>
      <c r="F2" s="3" t="s">
        <v>22</v>
      </c>
      <c r="G2" s="3" t="str">
        <f t="shared" ref="G2:G64" si="1">if(E2=F2, "1", "0")</f>
        <v>1</v>
      </c>
      <c r="H2" s="3" t="s">
        <v>22</v>
      </c>
      <c r="I2" s="3" t="str">
        <f t="shared" ref="I2:I64" si="2">if(E2=H2, "1", "0")</f>
        <v>1</v>
      </c>
      <c r="J2" s="3" t="s">
        <v>22</v>
      </c>
      <c r="K2" s="3" t="str">
        <f t="shared" ref="K2:K64" si="3">if(E2=J2, "1", "0")</f>
        <v>1</v>
      </c>
      <c r="L2" s="3" t="s">
        <v>22</v>
      </c>
      <c r="M2" s="3" t="str">
        <f t="shared" ref="M2:M64" si="4">if(E2=L2, "1", "0")</f>
        <v>1</v>
      </c>
      <c r="N2" s="3" t="s">
        <v>22</v>
      </c>
      <c r="O2" s="3" t="str">
        <f t="shared" ref="O2:O64" si="5">if(E2=N2, "1", "0")</f>
        <v>1</v>
      </c>
      <c r="P2" s="3" t="s">
        <v>22</v>
      </c>
      <c r="Q2" s="4" t="str">
        <f t="shared" ref="Q2:Q64" si="6">if(E2=P2, "1", "0")</f>
        <v>1</v>
      </c>
      <c r="R2" s="3" t="s">
        <v>22</v>
      </c>
      <c r="S2" s="4" t="str">
        <f t="shared" ref="S2:S64" si="7">if(R2=E2, "1", "0")</f>
        <v>1</v>
      </c>
      <c r="T2" s="3" t="s">
        <v>22</v>
      </c>
      <c r="U2" s="4" t="str">
        <f t="shared" ref="U2:U64" si="8">If(T2=E2,"1","0")</f>
        <v>1</v>
      </c>
    </row>
    <row r="3">
      <c r="A3" s="3" t="s">
        <v>21</v>
      </c>
      <c r="B3" s="3">
        <v>2.0</v>
      </c>
      <c r="C3" s="3" t="s">
        <v>24</v>
      </c>
      <c r="D3" s="3" t="s">
        <v>25</v>
      </c>
      <c r="E3" s="3" t="s">
        <v>25</v>
      </c>
      <c r="F3" s="3" t="s">
        <v>24</v>
      </c>
      <c r="G3" s="3" t="str">
        <f t="shared" si="1"/>
        <v>0</v>
      </c>
      <c r="H3" s="3" t="s">
        <v>25</v>
      </c>
      <c r="I3" s="3" t="str">
        <f t="shared" si="2"/>
        <v>1</v>
      </c>
      <c r="J3" s="3" t="s">
        <v>25</v>
      </c>
      <c r="K3" s="3" t="str">
        <f t="shared" si="3"/>
        <v>1</v>
      </c>
      <c r="L3" s="3" t="s">
        <v>25</v>
      </c>
      <c r="M3" s="3" t="str">
        <f t="shared" si="4"/>
        <v>1</v>
      </c>
      <c r="N3" s="3" t="s">
        <v>25</v>
      </c>
      <c r="O3" s="3" t="str">
        <f t="shared" si="5"/>
        <v>1</v>
      </c>
      <c r="P3" s="3" t="s">
        <v>25</v>
      </c>
      <c r="Q3" s="4" t="str">
        <f t="shared" si="6"/>
        <v>1</v>
      </c>
      <c r="R3" s="3" t="s">
        <v>24</v>
      </c>
      <c r="S3" s="4" t="str">
        <f t="shared" si="7"/>
        <v>0</v>
      </c>
      <c r="T3" s="3" t="s">
        <v>24</v>
      </c>
      <c r="U3" s="4" t="str">
        <f t="shared" si="8"/>
        <v>0</v>
      </c>
    </row>
    <row r="4">
      <c r="A4" s="3" t="s">
        <v>21</v>
      </c>
      <c r="B4" s="3">
        <v>3.0</v>
      </c>
      <c r="C4" s="3" t="s">
        <v>26</v>
      </c>
      <c r="D4" s="3" t="s">
        <v>27</v>
      </c>
      <c r="E4" s="3" t="s">
        <v>27</v>
      </c>
      <c r="F4" s="3" t="s">
        <v>26</v>
      </c>
      <c r="G4" s="3" t="str">
        <f t="shared" si="1"/>
        <v>0</v>
      </c>
      <c r="H4" s="3" t="s">
        <v>26</v>
      </c>
      <c r="I4" s="3" t="str">
        <f t="shared" si="2"/>
        <v>0</v>
      </c>
      <c r="J4" s="3" t="s">
        <v>26</v>
      </c>
      <c r="K4" s="3" t="str">
        <f t="shared" si="3"/>
        <v>0</v>
      </c>
      <c r="L4" s="3" t="s">
        <v>26</v>
      </c>
      <c r="M4" s="3" t="str">
        <f t="shared" si="4"/>
        <v>0</v>
      </c>
      <c r="N4" s="3" t="s">
        <v>26</v>
      </c>
      <c r="O4" s="3" t="str">
        <f t="shared" si="5"/>
        <v>0</v>
      </c>
      <c r="P4" s="3" t="s">
        <v>26</v>
      </c>
      <c r="Q4" s="4" t="str">
        <f t="shared" si="6"/>
        <v>0</v>
      </c>
      <c r="R4" s="3" t="s">
        <v>26</v>
      </c>
      <c r="S4" s="4" t="str">
        <f t="shared" si="7"/>
        <v>0</v>
      </c>
      <c r="T4" s="3" t="s">
        <v>26</v>
      </c>
      <c r="U4" s="4" t="str">
        <f t="shared" si="8"/>
        <v>0</v>
      </c>
    </row>
    <row r="5">
      <c r="A5" s="3" t="s">
        <v>21</v>
      </c>
      <c r="B5" s="3">
        <v>4.0</v>
      </c>
      <c r="C5" s="3" t="s">
        <v>28</v>
      </c>
      <c r="D5" s="3" t="s">
        <v>29</v>
      </c>
      <c r="E5" s="3" t="s">
        <v>28</v>
      </c>
      <c r="F5" s="3" t="s">
        <v>28</v>
      </c>
      <c r="G5" s="3" t="str">
        <f t="shared" si="1"/>
        <v>1</v>
      </c>
      <c r="H5" s="3" t="s">
        <v>28</v>
      </c>
      <c r="I5" s="3" t="str">
        <f t="shared" si="2"/>
        <v>1</v>
      </c>
      <c r="J5" s="3" t="s">
        <v>28</v>
      </c>
      <c r="K5" s="3" t="str">
        <f t="shared" si="3"/>
        <v>1</v>
      </c>
      <c r="L5" s="3" t="s">
        <v>28</v>
      </c>
      <c r="M5" s="3" t="str">
        <f t="shared" si="4"/>
        <v>1</v>
      </c>
      <c r="N5" s="3" t="s">
        <v>28</v>
      </c>
      <c r="O5" s="3" t="str">
        <f t="shared" si="5"/>
        <v>1</v>
      </c>
      <c r="P5" s="3" t="s">
        <v>28</v>
      </c>
      <c r="Q5" s="4" t="str">
        <f t="shared" si="6"/>
        <v>1</v>
      </c>
      <c r="R5" s="3" t="s">
        <v>28</v>
      </c>
      <c r="S5" s="4" t="str">
        <f t="shared" si="7"/>
        <v>1</v>
      </c>
      <c r="T5" s="3" t="s">
        <v>28</v>
      </c>
      <c r="U5" s="4" t="str">
        <f t="shared" si="8"/>
        <v>1</v>
      </c>
    </row>
    <row r="6">
      <c r="A6" s="3" t="s">
        <v>21</v>
      </c>
      <c r="B6" s="3">
        <v>5.0</v>
      </c>
      <c r="C6" s="3" t="s">
        <v>30</v>
      </c>
      <c r="D6" s="3" t="s">
        <v>31</v>
      </c>
      <c r="E6" s="3" t="s">
        <v>31</v>
      </c>
      <c r="F6" s="3" t="s">
        <v>30</v>
      </c>
      <c r="G6" s="3" t="str">
        <f t="shared" si="1"/>
        <v>0</v>
      </c>
      <c r="H6" s="3" t="s">
        <v>30</v>
      </c>
      <c r="I6" s="3" t="str">
        <f t="shared" si="2"/>
        <v>0</v>
      </c>
      <c r="J6" s="3" t="s">
        <v>30</v>
      </c>
      <c r="K6" s="3" t="str">
        <f t="shared" si="3"/>
        <v>0</v>
      </c>
      <c r="L6" s="3" t="s">
        <v>30</v>
      </c>
      <c r="M6" s="3" t="str">
        <f t="shared" si="4"/>
        <v>0</v>
      </c>
      <c r="N6" s="3" t="s">
        <v>30</v>
      </c>
      <c r="O6" s="3" t="str">
        <f t="shared" si="5"/>
        <v>0</v>
      </c>
      <c r="P6" s="3" t="s">
        <v>30</v>
      </c>
      <c r="Q6" s="4" t="str">
        <f t="shared" si="6"/>
        <v>0</v>
      </c>
      <c r="R6" s="3" t="s">
        <v>30</v>
      </c>
      <c r="S6" s="4" t="str">
        <f t="shared" si="7"/>
        <v>0</v>
      </c>
      <c r="T6" s="3" t="s">
        <v>30</v>
      </c>
      <c r="U6" s="4" t="str">
        <f t="shared" si="8"/>
        <v>0</v>
      </c>
    </row>
    <row r="7">
      <c r="A7" s="3" t="s">
        <v>21</v>
      </c>
      <c r="B7" s="3">
        <v>6.0</v>
      </c>
      <c r="C7" s="3" t="s">
        <v>32</v>
      </c>
      <c r="D7" s="3" t="s">
        <v>33</v>
      </c>
      <c r="E7" s="3" t="s">
        <v>32</v>
      </c>
      <c r="F7" s="3" t="s">
        <v>32</v>
      </c>
      <c r="G7" s="3" t="str">
        <f t="shared" si="1"/>
        <v>1</v>
      </c>
      <c r="H7" s="3" t="s">
        <v>32</v>
      </c>
      <c r="I7" s="3" t="str">
        <f t="shared" si="2"/>
        <v>1</v>
      </c>
      <c r="J7" s="3" t="s">
        <v>32</v>
      </c>
      <c r="K7" s="3" t="str">
        <f t="shared" si="3"/>
        <v>1</v>
      </c>
      <c r="L7" s="3" t="s">
        <v>32</v>
      </c>
      <c r="M7" s="3" t="str">
        <f t="shared" si="4"/>
        <v>1</v>
      </c>
      <c r="N7" s="3" t="s">
        <v>32</v>
      </c>
      <c r="O7" s="3" t="str">
        <f t="shared" si="5"/>
        <v>1</v>
      </c>
      <c r="P7" s="3" t="s">
        <v>32</v>
      </c>
      <c r="Q7" s="4" t="str">
        <f t="shared" si="6"/>
        <v>1</v>
      </c>
      <c r="R7" s="3" t="s">
        <v>32</v>
      </c>
      <c r="S7" s="4" t="str">
        <f t="shared" si="7"/>
        <v>1</v>
      </c>
      <c r="T7" s="3" t="s">
        <v>32</v>
      </c>
      <c r="U7" s="4" t="str">
        <f t="shared" si="8"/>
        <v>1</v>
      </c>
    </row>
    <row r="8">
      <c r="A8" s="3" t="s">
        <v>21</v>
      </c>
      <c r="B8" s="3">
        <v>7.0</v>
      </c>
      <c r="C8" s="3" t="s">
        <v>34</v>
      </c>
      <c r="D8" s="3" t="s">
        <v>35</v>
      </c>
      <c r="E8" s="3" t="s">
        <v>34</v>
      </c>
      <c r="F8" s="3" t="s">
        <v>34</v>
      </c>
      <c r="G8" s="3" t="str">
        <f t="shared" si="1"/>
        <v>1</v>
      </c>
      <c r="H8" s="3" t="s">
        <v>35</v>
      </c>
      <c r="I8" s="3" t="str">
        <f t="shared" si="2"/>
        <v>0</v>
      </c>
      <c r="J8" s="3" t="s">
        <v>34</v>
      </c>
      <c r="K8" s="3" t="str">
        <f t="shared" si="3"/>
        <v>1</v>
      </c>
      <c r="L8" s="3" t="s">
        <v>34</v>
      </c>
      <c r="M8" s="3" t="str">
        <f t="shared" si="4"/>
        <v>1</v>
      </c>
      <c r="N8" s="3" t="s">
        <v>34</v>
      </c>
      <c r="O8" s="3" t="str">
        <f t="shared" si="5"/>
        <v>1</v>
      </c>
      <c r="P8" s="3" t="s">
        <v>34</v>
      </c>
      <c r="Q8" s="4" t="str">
        <f t="shared" si="6"/>
        <v>1</v>
      </c>
      <c r="R8" s="3" t="s">
        <v>34</v>
      </c>
      <c r="S8" s="4" t="str">
        <f t="shared" si="7"/>
        <v>1</v>
      </c>
      <c r="T8" s="3" t="s">
        <v>35</v>
      </c>
      <c r="U8" s="4" t="str">
        <f t="shared" si="8"/>
        <v>0</v>
      </c>
    </row>
    <row r="9">
      <c r="A9" s="3" t="s">
        <v>21</v>
      </c>
      <c r="B9" s="3">
        <v>8.0</v>
      </c>
      <c r="C9" s="3" t="s">
        <v>36</v>
      </c>
      <c r="D9" s="3" t="s">
        <v>37</v>
      </c>
      <c r="E9" s="3" t="s">
        <v>36</v>
      </c>
      <c r="F9" s="3" t="s">
        <v>36</v>
      </c>
      <c r="G9" s="3" t="str">
        <f t="shared" si="1"/>
        <v>1</v>
      </c>
      <c r="H9" s="3" t="s">
        <v>36</v>
      </c>
      <c r="I9" s="3" t="str">
        <f t="shared" si="2"/>
        <v>1</v>
      </c>
      <c r="J9" s="3" t="s">
        <v>36</v>
      </c>
      <c r="K9" s="3" t="str">
        <f t="shared" si="3"/>
        <v>1</v>
      </c>
      <c r="L9" s="3" t="s">
        <v>36</v>
      </c>
      <c r="M9" s="3" t="str">
        <f t="shared" si="4"/>
        <v>1</v>
      </c>
      <c r="N9" s="3" t="s">
        <v>36</v>
      </c>
      <c r="O9" s="3" t="str">
        <f t="shared" si="5"/>
        <v>1</v>
      </c>
      <c r="P9" s="3" t="s">
        <v>36</v>
      </c>
      <c r="Q9" s="4" t="str">
        <f t="shared" si="6"/>
        <v>1</v>
      </c>
      <c r="R9" s="3" t="s">
        <v>36</v>
      </c>
      <c r="S9" s="4" t="str">
        <f t="shared" si="7"/>
        <v>1</v>
      </c>
      <c r="T9" s="3" t="s">
        <v>36</v>
      </c>
      <c r="U9" s="4" t="str">
        <f t="shared" si="8"/>
        <v>1</v>
      </c>
    </row>
    <row r="10">
      <c r="A10" s="3" t="s">
        <v>21</v>
      </c>
      <c r="B10" s="3">
        <v>9.0</v>
      </c>
      <c r="C10" s="3" t="s">
        <v>38</v>
      </c>
      <c r="D10" s="3" t="s">
        <v>39</v>
      </c>
      <c r="E10" s="3" t="s">
        <v>38</v>
      </c>
      <c r="F10" s="3" t="s">
        <v>38</v>
      </c>
      <c r="G10" s="3" t="str">
        <f t="shared" si="1"/>
        <v>1</v>
      </c>
      <c r="H10" s="3" t="s">
        <v>38</v>
      </c>
      <c r="I10" s="3" t="str">
        <f t="shared" si="2"/>
        <v>1</v>
      </c>
      <c r="J10" s="3" t="s">
        <v>38</v>
      </c>
      <c r="K10" s="3" t="str">
        <f t="shared" si="3"/>
        <v>1</v>
      </c>
      <c r="L10" s="3" t="s">
        <v>38</v>
      </c>
      <c r="M10" s="3" t="str">
        <f t="shared" si="4"/>
        <v>1</v>
      </c>
      <c r="N10" s="3" t="s">
        <v>38</v>
      </c>
      <c r="O10" s="3" t="str">
        <f t="shared" si="5"/>
        <v>1</v>
      </c>
      <c r="P10" s="3" t="s">
        <v>38</v>
      </c>
      <c r="Q10" s="4" t="str">
        <f t="shared" si="6"/>
        <v>1</v>
      </c>
      <c r="R10" s="3" t="s">
        <v>38</v>
      </c>
      <c r="S10" s="4" t="str">
        <f t="shared" si="7"/>
        <v>1</v>
      </c>
      <c r="T10" s="3" t="s">
        <v>38</v>
      </c>
      <c r="U10" s="4" t="str">
        <f t="shared" si="8"/>
        <v>1</v>
      </c>
    </row>
    <row r="11">
      <c r="A11" s="3" t="s">
        <v>21</v>
      </c>
      <c r="B11" s="3">
        <v>10.0</v>
      </c>
      <c r="C11" s="3" t="s">
        <v>40</v>
      </c>
      <c r="D11" s="3" t="s">
        <v>41</v>
      </c>
      <c r="E11" s="3" t="s">
        <v>40</v>
      </c>
      <c r="F11" s="3" t="s">
        <v>42</v>
      </c>
      <c r="G11" s="3" t="str">
        <f t="shared" si="1"/>
        <v>0</v>
      </c>
      <c r="H11" s="3" t="s">
        <v>42</v>
      </c>
      <c r="I11" s="3" t="str">
        <f t="shared" si="2"/>
        <v>0</v>
      </c>
      <c r="J11" s="3" t="s">
        <v>41</v>
      </c>
      <c r="K11" s="3" t="str">
        <f t="shared" si="3"/>
        <v>0</v>
      </c>
      <c r="L11" s="3" t="s">
        <v>41</v>
      </c>
      <c r="M11" s="3" t="str">
        <f t="shared" si="4"/>
        <v>0</v>
      </c>
      <c r="N11" s="3" t="s">
        <v>41</v>
      </c>
      <c r="O11" s="3" t="str">
        <f t="shared" si="5"/>
        <v>0</v>
      </c>
      <c r="P11" s="3" t="s">
        <v>41</v>
      </c>
      <c r="Q11" s="4" t="str">
        <f t="shared" si="6"/>
        <v>0</v>
      </c>
      <c r="R11" s="3" t="s">
        <v>42</v>
      </c>
      <c r="S11" s="4" t="str">
        <f t="shared" si="7"/>
        <v>0</v>
      </c>
      <c r="T11" s="3" t="s">
        <v>42</v>
      </c>
      <c r="U11" s="4" t="str">
        <f t="shared" si="8"/>
        <v>0</v>
      </c>
    </row>
    <row r="12">
      <c r="A12" s="3" t="s">
        <v>21</v>
      </c>
      <c r="B12" s="3">
        <v>11.0</v>
      </c>
      <c r="C12" s="3" t="s">
        <v>43</v>
      </c>
      <c r="D12" s="3" t="s">
        <v>44</v>
      </c>
      <c r="E12" s="3" t="s">
        <v>43</v>
      </c>
      <c r="F12" s="3" t="s">
        <v>43</v>
      </c>
      <c r="G12" s="3" t="str">
        <f t="shared" si="1"/>
        <v>1</v>
      </c>
      <c r="H12" s="3" t="s">
        <v>43</v>
      </c>
      <c r="I12" s="3" t="str">
        <f t="shared" si="2"/>
        <v>1</v>
      </c>
      <c r="J12" s="3" t="s">
        <v>44</v>
      </c>
      <c r="K12" s="3" t="str">
        <f t="shared" si="3"/>
        <v>0</v>
      </c>
      <c r="L12" s="3" t="s">
        <v>44</v>
      </c>
      <c r="M12" s="3" t="str">
        <f t="shared" si="4"/>
        <v>0</v>
      </c>
      <c r="N12" s="3" t="s">
        <v>44</v>
      </c>
      <c r="O12" s="3" t="str">
        <f t="shared" si="5"/>
        <v>0</v>
      </c>
      <c r="P12" s="3" t="s">
        <v>44</v>
      </c>
      <c r="Q12" s="4" t="str">
        <f t="shared" si="6"/>
        <v>0</v>
      </c>
      <c r="R12" s="3" t="s">
        <v>43</v>
      </c>
      <c r="S12" s="4" t="str">
        <f t="shared" si="7"/>
        <v>1</v>
      </c>
      <c r="T12" s="3" t="s">
        <v>43</v>
      </c>
      <c r="U12" s="4" t="str">
        <f t="shared" si="8"/>
        <v>1</v>
      </c>
    </row>
    <row r="13">
      <c r="A13" s="3" t="s">
        <v>21</v>
      </c>
      <c r="B13" s="3">
        <v>12.0</v>
      </c>
      <c r="C13" s="3" t="s">
        <v>45</v>
      </c>
      <c r="D13" s="3" t="s">
        <v>46</v>
      </c>
      <c r="E13" s="3" t="s">
        <v>45</v>
      </c>
      <c r="F13" s="3" t="s">
        <v>45</v>
      </c>
      <c r="G13" s="3" t="str">
        <f t="shared" si="1"/>
        <v>1</v>
      </c>
      <c r="H13" s="3" t="s">
        <v>45</v>
      </c>
      <c r="I13" s="3" t="str">
        <f t="shared" si="2"/>
        <v>1</v>
      </c>
      <c r="J13" s="3" t="s">
        <v>45</v>
      </c>
      <c r="K13" s="3" t="str">
        <f t="shared" si="3"/>
        <v>1</v>
      </c>
      <c r="L13" s="3" t="s">
        <v>45</v>
      </c>
      <c r="M13" s="3" t="str">
        <f t="shared" si="4"/>
        <v>1</v>
      </c>
      <c r="N13" s="3" t="s">
        <v>45</v>
      </c>
      <c r="O13" s="3" t="str">
        <f t="shared" si="5"/>
        <v>1</v>
      </c>
      <c r="P13" s="3" t="s">
        <v>45</v>
      </c>
      <c r="Q13" s="4" t="str">
        <f t="shared" si="6"/>
        <v>1</v>
      </c>
      <c r="R13" s="3" t="s">
        <v>45</v>
      </c>
      <c r="S13" s="4" t="str">
        <f t="shared" si="7"/>
        <v>1</v>
      </c>
      <c r="T13" s="3" t="s">
        <v>45</v>
      </c>
      <c r="U13" s="4" t="str">
        <f t="shared" si="8"/>
        <v>1</v>
      </c>
    </row>
    <row r="14">
      <c r="A14" s="3" t="s">
        <v>21</v>
      </c>
      <c r="B14" s="3">
        <v>13.0</v>
      </c>
      <c r="C14" s="3" t="s">
        <v>47</v>
      </c>
      <c r="D14" s="3" t="s">
        <v>48</v>
      </c>
      <c r="E14" s="3" t="s">
        <v>47</v>
      </c>
      <c r="F14" s="3" t="s">
        <v>47</v>
      </c>
      <c r="G14" s="3" t="str">
        <f t="shared" si="1"/>
        <v>1</v>
      </c>
      <c r="H14" s="3" t="s">
        <v>47</v>
      </c>
      <c r="I14" s="3" t="str">
        <f t="shared" si="2"/>
        <v>1</v>
      </c>
      <c r="J14" s="3" t="s">
        <v>47</v>
      </c>
      <c r="K14" s="3" t="str">
        <f t="shared" si="3"/>
        <v>1</v>
      </c>
      <c r="L14" s="3" t="s">
        <v>47</v>
      </c>
      <c r="M14" s="3" t="str">
        <f t="shared" si="4"/>
        <v>1</v>
      </c>
      <c r="N14" s="3" t="s">
        <v>47</v>
      </c>
      <c r="O14" s="3" t="str">
        <f t="shared" si="5"/>
        <v>1</v>
      </c>
      <c r="P14" s="3" t="s">
        <v>47</v>
      </c>
      <c r="Q14" s="4" t="str">
        <f t="shared" si="6"/>
        <v>1</v>
      </c>
      <c r="R14" s="3" t="s">
        <v>47</v>
      </c>
      <c r="S14" s="4" t="str">
        <f t="shared" si="7"/>
        <v>1</v>
      </c>
      <c r="T14" s="3" t="s">
        <v>47</v>
      </c>
      <c r="U14" s="4" t="str">
        <f t="shared" si="8"/>
        <v>1</v>
      </c>
    </row>
    <row r="15">
      <c r="A15" s="3" t="s">
        <v>21</v>
      </c>
      <c r="B15" s="3">
        <v>14.0</v>
      </c>
      <c r="C15" s="3" t="s">
        <v>49</v>
      </c>
      <c r="D15" s="3" t="s">
        <v>50</v>
      </c>
      <c r="E15" s="3" t="s">
        <v>49</v>
      </c>
      <c r="F15" s="3" t="s">
        <v>49</v>
      </c>
      <c r="G15" s="3" t="str">
        <f t="shared" si="1"/>
        <v>1</v>
      </c>
      <c r="H15" s="3" t="s">
        <v>49</v>
      </c>
      <c r="I15" s="3" t="str">
        <f t="shared" si="2"/>
        <v>1</v>
      </c>
      <c r="J15" s="3" t="s">
        <v>49</v>
      </c>
      <c r="K15" s="3" t="str">
        <f t="shared" si="3"/>
        <v>1</v>
      </c>
      <c r="L15" s="3" t="s">
        <v>49</v>
      </c>
      <c r="M15" s="3" t="str">
        <f t="shared" si="4"/>
        <v>1</v>
      </c>
      <c r="N15" s="3" t="s">
        <v>49</v>
      </c>
      <c r="O15" s="3" t="str">
        <f t="shared" si="5"/>
        <v>1</v>
      </c>
      <c r="P15" s="3" t="s">
        <v>49</v>
      </c>
      <c r="Q15" s="4" t="str">
        <f t="shared" si="6"/>
        <v>1</v>
      </c>
      <c r="R15" s="3" t="s">
        <v>49</v>
      </c>
      <c r="S15" s="4" t="str">
        <f t="shared" si="7"/>
        <v>1</v>
      </c>
      <c r="T15" s="3" t="s">
        <v>49</v>
      </c>
      <c r="U15" s="4" t="str">
        <f t="shared" si="8"/>
        <v>1</v>
      </c>
    </row>
    <row r="16">
      <c r="A16" s="3" t="s">
        <v>21</v>
      </c>
      <c r="B16" s="3">
        <v>15.0</v>
      </c>
      <c r="C16" s="3" t="s">
        <v>51</v>
      </c>
      <c r="D16" s="3" t="s">
        <v>52</v>
      </c>
      <c r="E16" s="3" t="s">
        <v>51</v>
      </c>
      <c r="F16" s="3" t="s">
        <v>51</v>
      </c>
      <c r="G16" s="3" t="str">
        <f t="shared" si="1"/>
        <v>1</v>
      </c>
      <c r="H16" s="3" t="s">
        <v>52</v>
      </c>
      <c r="I16" s="3" t="str">
        <f t="shared" si="2"/>
        <v>0</v>
      </c>
      <c r="J16" s="3" t="s">
        <v>52</v>
      </c>
      <c r="K16" s="3" t="str">
        <f t="shared" si="3"/>
        <v>0</v>
      </c>
      <c r="L16" s="3" t="s">
        <v>52</v>
      </c>
      <c r="M16" s="3" t="str">
        <f t="shared" si="4"/>
        <v>0</v>
      </c>
      <c r="N16" s="3" t="s">
        <v>52</v>
      </c>
      <c r="O16" s="3" t="str">
        <f t="shared" si="5"/>
        <v>0</v>
      </c>
      <c r="P16" s="3" t="s">
        <v>52</v>
      </c>
      <c r="Q16" s="4" t="str">
        <f t="shared" si="6"/>
        <v>0</v>
      </c>
      <c r="R16" s="3" t="s">
        <v>51</v>
      </c>
      <c r="S16" s="4" t="str">
        <f t="shared" si="7"/>
        <v>1</v>
      </c>
      <c r="T16" s="3" t="s">
        <v>51</v>
      </c>
      <c r="U16" s="4" t="str">
        <f t="shared" si="8"/>
        <v>1</v>
      </c>
    </row>
    <row r="17">
      <c r="A17" s="3" t="s">
        <v>21</v>
      </c>
      <c r="B17" s="3">
        <v>16.0</v>
      </c>
      <c r="C17" s="3" t="s">
        <v>53</v>
      </c>
      <c r="D17" s="3" t="s">
        <v>54</v>
      </c>
      <c r="E17" s="3" t="s">
        <v>54</v>
      </c>
      <c r="F17" s="3" t="s">
        <v>53</v>
      </c>
      <c r="G17" s="3" t="str">
        <f t="shared" si="1"/>
        <v>0</v>
      </c>
      <c r="H17" s="3" t="s">
        <v>53</v>
      </c>
      <c r="I17" s="3" t="str">
        <f t="shared" si="2"/>
        <v>0</v>
      </c>
      <c r="J17" s="3" t="s">
        <v>53</v>
      </c>
      <c r="K17" s="3" t="str">
        <f t="shared" si="3"/>
        <v>0</v>
      </c>
      <c r="L17" s="3" t="s">
        <v>53</v>
      </c>
      <c r="M17" s="3" t="str">
        <f t="shared" si="4"/>
        <v>0</v>
      </c>
      <c r="N17" s="3" t="s">
        <v>53</v>
      </c>
      <c r="O17" s="3" t="str">
        <f t="shared" si="5"/>
        <v>0</v>
      </c>
      <c r="P17" s="3" t="s">
        <v>53</v>
      </c>
      <c r="Q17" s="4" t="str">
        <f t="shared" si="6"/>
        <v>0</v>
      </c>
      <c r="R17" s="3" t="s">
        <v>53</v>
      </c>
      <c r="S17" s="4" t="str">
        <f t="shared" si="7"/>
        <v>0</v>
      </c>
      <c r="T17" s="3" t="s">
        <v>53</v>
      </c>
      <c r="U17" s="4" t="str">
        <f t="shared" si="8"/>
        <v>0</v>
      </c>
    </row>
    <row r="18">
      <c r="A18" s="3" t="s">
        <v>21</v>
      </c>
      <c r="B18" s="3">
        <v>17.0</v>
      </c>
      <c r="C18" s="3" t="s">
        <v>55</v>
      </c>
      <c r="D18" s="3" t="s">
        <v>56</v>
      </c>
      <c r="E18" s="3" t="s">
        <v>55</v>
      </c>
      <c r="F18" s="3" t="s">
        <v>55</v>
      </c>
      <c r="G18" s="3" t="str">
        <f t="shared" si="1"/>
        <v>1</v>
      </c>
      <c r="H18" s="3" t="s">
        <v>55</v>
      </c>
      <c r="I18" s="3" t="str">
        <f t="shared" si="2"/>
        <v>1</v>
      </c>
      <c r="J18" s="3" t="s">
        <v>55</v>
      </c>
      <c r="K18" s="3" t="str">
        <f t="shared" si="3"/>
        <v>1</v>
      </c>
      <c r="L18" s="3" t="s">
        <v>55</v>
      </c>
      <c r="M18" s="3" t="str">
        <f t="shared" si="4"/>
        <v>1</v>
      </c>
      <c r="N18" s="3" t="s">
        <v>55</v>
      </c>
      <c r="O18" s="3" t="str">
        <f t="shared" si="5"/>
        <v>1</v>
      </c>
      <c r="P18" s="3" t="s">
        <v>55</v>
      </c>
      <c r="Q18" s="4" t="str">
        <f t="shared" si="6"/>
        <v>1</v>
      </c>
      <c r="R18" s="3" t="s">
        <v>55</v>
      </c>
      <c r="S18" s="4" t="str">
        <f t="shared" si="7"/>
        <v>1</v>
      </c>
      <c r="T18" s="3" t="s">
        <v>55</v>
      </c>
      <c r="U18" s="4" t="str">
        <f t="shared" si="8"/>
        <v>1</v>
      </c>
    </row>
    <row r="19">
      <c r="A19" s="3" t="s">
        <v>21</v>
      </c>
      <c r="B19" s="3">
        <v>18.0</v>
      </c>
      <c r="C19" s="3" t="s">
        <v>57</v>
      </c>
      <c r="D19" s="3" t="s">
        <v>58</v>
      </c>
      <c r="E19" s="3" t="s">
        <v>58</v>
      </c>
      <c r="F19" s="3" t="s">
        <v>57</v>
      </c>
      <c r="G19" s="3" t="str">
        <f t="shared" si="1"/>
        <v>0</v>
      </c>
      <c r="H19" s="3" t="s">
        <v>58</v>
      </c>
      <c r="I19" s="3" t="str">
        <f t="shared" si="2"/>
        <v>1</v>
      </c>
      <c r="J19" s="3" t="s">
        <v>57</v>
      </c>
      <c r="K19" s="3" t="str">
        <f t="shared" si="3"/>
        <v>0</v>
      </c>
      <c r="L19" s="3" t="s">
        <v>58</v>
      </c>
      <c r="M19" s="3" t="str">
        <f t="shared" si="4"/>
        <v>1</v>
      </c>
      <c r="N19" s="3" t="s">
        <v>58</v>
      </c>
      <c r="O19" s="3" t="str">
        <f t="shared" si="5"/>
        <v>1</v>
      </c>
      <c r="P19" s="3" t="s">
        <v>58</v>
      </c>
      <c r="Q19" s="4" t="str">
        <f t="shared" si="6"/>
        <v>1</v>
      </c>
      <c r="R19" s="3" t="s">
        <v>58</v>
      </c>
      <c r="S19" s="4" t="str">
        <f t="shared" si="7"/>
        <v>1</v>
      </c>
      <c r="T19" s="3" t="s">
        <v>58</v>
      </c>
      <c r="U19" s="4" t="str">
        <f t="shared" si="8"/>
        <v>1</v>
      </c>
    </row>
    <row r="20">
      <c r="A20" s="3" t="s">
        <v>21</v>
      </c>
      <c r="B20" s="3">
        <v>19.0</v>
      </c>
      <c r="C20" s="3" t="s">
        <v>59</v>
      </c>
      <c r="D20" s="3" t="s">
        <v>60</v>
      </c>
      <c r="E20" s="3" t="s">
        <v>59</v>
      </c>
      <c r="F20" s="3" t="s">
        <v>59</v>
      </c>
      <c r="G20" s="3" t="str">
        <f t="shared" si="1"/>
        <v>1</v>
      </c>
      <c r="H20" s="3" t="s">
        <v>59</v>
      </c>
      <c r="I20" s="3" t="str">
        <f t="shared" si="2"/>
        <v>1</v>
      </c>
      <c r="J20" s="3" t="s">
        <v>59</v>
      </c>
      <c r="K20" s="3" t="str">
        <f t="shared" si="3"/>
        <v>1</v>
      </c>
      <c r="L20" s="3" t="s">
        <v>59</v>
      </c>
      <c r="M20" s="3" t="str">
        <f t="shared" si="4"/>
        <v>1</v>
      </c>
      <c r="N20" s="3" t="s">
        <v>59</v>
      </c>
      <c r="O20" s="3" t="str">
        <f t="shared" si="5"/>
        <v>1</v>
      </c>
      <c r="P20" s="3" t="s">
        <v>59</v>
      </c>
      <c r="Q20" s="4" t="str">
        <f t="shared" si="6"/>
        <v>1</v>
      </c>
      <c r="R20" s="3" t="s">
        <v>59</v>
      </c>
      <c r="S20" s="4" t="str">
        <f t="shared" si="7"/>
        <v>1</v>
      </c>
      <c r="T20" s="3" t="s">
        <v>59</v>
      </c>
      <c r="U20" s="4" t="str">
        <f t="shared" si="8"/>
        <v>1</v>
      </c>
    </row>
    <row r="21">
      <c r="A21" s="3" t="s">
        <v>21</v>
      </c>
      <c r="B21" s="3">
        <v>20.0</v>
      </c>
      <c r="C21" s="3" t="s">
        <v>61</v>
      </c>
      <c r="D21" s="3" t="s">
        <v>62</v>
      </c>
      <c r="E21" s="3" t="s">
        <v>61</v>
      </c>
      <c r="F21" s="3" t="s">
        <v>63</v>
      </c>
      <c r="G21" s="3" t="str">
        <f t="shared" si="1"/>
        <v>0</v>
      </c>
      <c r="H21" s="3" t="s">
        <v>63</v>
      </c>
      <c r="I21" s="3" t="str">
        <f t="shared" si="2"/>
        <v>0</v>
      </c>
      <c r="J21" s="3" t="s">
        <v>63</v>
      </c>
      <c r="K21" s="3" t="str">
        <f t="shared" si="3"/>
        <v>0</v>
      </c>
      <c r="L21" s="3" t="s">
        <v>63</v>
      </c>
      <c r="M21" s="3" t="str">
        <f t="shared" si="4"/>
        <v>0</v>
      </c>
      <c r="N21" s="3" t="s">
        <v>63</v>
      </c>
      <c r="O21" s="3" t="str">
        <f t="shared" si="5"/>
        <v>0</v>
      </c>
      <c r="P21" s="3" t="s">
        <v>63</v>
      </c>
      <c r="Q21" s="4" t="str">
        <f t="shared" si="6"/>
        <v>0</v>
      </c>
      <c r="R21" s="3" t="s">
        <v>63</v>
      </c>
      <c r="S21" s="4" t="str">
        <f t="shared" si="7"/>
        <v>0</v>
      </c>
      <c r="T21" s="3" t="s">
        <v>63</v>
      </c>
      <c r="U21" s="4" t="str">
        <f t="shared" si="8"/>
        <v>0</v>
      </c>
    </row>
    <row r="22">
      <c r="A22" s="3" t="s">
        <v>21</v>
      </c>
      <c r="B22" s="3">
        <v>21.0</v>
      </c>
      <c r="C22" s="3" t="s">
        <v>64</v>
      </c>
      <c r="D22" s="3" t="s">
        <v>65</v>
      </c>
      <c r="E22" s="3" t="s">
        <v>65</v>
      </c>
      <c r="F22" s="3" t="s">
        <v>64</v>
      </c>
      <c r="G22" s="3" t="str">
        <f t="shared" si="1"/>
        <v>0</v>
      </c>
      <c r="H22" s="3" t="s">
        <v>64</v>
      </c>
      <c r="I22" s="3" t="str">
        <f t="shared" si="2"/>
        <v>0</v>
      </c>
      <c r="J22" s="3" t="s">
        <v>65</v>
      </c>
      <c r="K22" s="3" t="str">
        <f t="shared" si="3"/>
        <v>1</v>
      </c>
      <c r="L22" s="3" t="s">
        <v>65</v>
      </c>
      <c r="M22" s="3" t="str">
        <f t="shared" si="4"/>
        <v>1</v>
      </c>
      <c r="N22" s="3" t="s">
        <v>65</v>
      </c>
      <c r="O22" s="3" t="str">
        <f t="shared" si="5"/>
        <v>1</v>
      </c>
      <c r="P22" s="3" t="s">
        <v>65</v>
      </c>
      <c r="Q22" s="4" t="str">
        <f t="shared" si="6"/>
        <v>1</v>
      </c>
      <c r="R22" s="3" t="s">
        <v>64</v>
      </c>
      <c r="S22" s="4" t="str">
        <f t="shared" si="7"/>
        <v>0</v>
      </c>
      <c r="T22" s="3" t="s">
        <v>64</v>
      </c>
      <c r="U22" s="4" t="str">
        <f t="shared" si="8"/>
        <v>0</v>
      </c>
    </row>
    <row r="23">
      <c r="A23" s="3" t="s">
        <v>21</v>
      </c>
      <c r="B23" s="3">
        <v>22.0</v>
      </c>
      <c r="C23" s="3" t="s">
        <v>66</v>
      </c>
      <c r="D23" s="3" t="s">
        <v>67</v>
      </c>
      <c r="E23" s="3" t="s">
        <v>66</v>
      </c>
      <c r="F23" s="3" t="s">
        <v>66</v>
      </c>
      <c r="G23" s="3" t="str">
        <f t="shared" si="1"/>
        <v>1</v>
      </c>
      <c r="H23" s="3" t="s">
        <v>66</v>
      </c>
      <c r="I23" s="3" t="str">
        <f t="shared" si="2"/>
        <v>1</v>
      </c>
      <c r="J23" s="3" t="s">
        <v>66</v>
      </c>
      <c r="K23" s="3" t="str">
        <f t="shared" si="3"/>
        <v>1</v>
      </c>
      <c r="L23" s="3" t="s">
        <v>66</v>
      </c>
      <c r="M23" s="3" t="str">
        <f t="shared" si="4"/>
        <v>1</v>
      </c>
      <c r="N23" s="3" t="s">
        <v>66</v>
      </c>
      <c r="O23" s="3" t="str">
        <f t="shared" si="5"/>
        <v>1</v>
      </c>
      <c r="P23" s="3" t="s">
        <v>66</v>
      </c>
      <c r="Q23" s="4" t="str">
        <f t="shared" si="6"/>
        <v>1</v>
      </c>
      <c r="R23" s="3" t="s">
        <v>66</v>
      </c>
      <c r="S23" s="4" t="str">
        <f t="shared" si="7"/>
        <v>1</v>
      </c>
      <c r="T23" s="3" t="s">
        <v>66</v>
      </c>
      <c r="U23" s="4" t="str">
        <f t="shared" si="8"/>
        <v>1</v>
      </c>
    </row>
    <row r="24">
      <c r="A24" s="3" t="s">
        <v>21</v>
      </c>
      <c r="B24" s="3">
        <v>23.0</v>
      </c>
      <c r="C24" s="3" t="s">
        <v>68</v>
      </c>
      <c r="D24" s="3" t="s">
        <v>69</v>
      </c>
      <c r="E24" s="3" t="s">
        <v>68</v>
      </c>
      <c r="F24" s="3" t="s">
        <v>69</v>
      </c>
      <c r="G24" s="3" t="str">
        <f t="shared" si="1"/>
        <v>0</v>
      </c>
      <c r="H24" s="3" t="s">
        <v>68</v>
      </c>
      <c r="I24" s="3" t="str">
        <f t="shared" si="2"/>
        <v>1</v>
      </c>
      <c r="J24" s="3" t="s">
        <v>68</v>
      </c>
      <c r="K24" s="3" t="str">
        <f t="shared" si="3"/>
        <v>1</v>
      </c>
      <c r="L24" s="3" t="s">
        <v>68</v>
      </c>
      <c r="M24" s="3" t="str">
        <f t="shared" si="4"/>
        <v>1</v>
      </c>
      <c r="N24" s="3" t="s">
        <v>68</v>
      </c>
      <c r="O24" s="3" t="str">
        <f t="shared" si="5"/>
        <v>1</v>
      </c>
      <c r="P24" s="3" t="s">
        <v>68</v>
      </c>
      <c r="Q24" s="4" t="str">
        <f t="shared" si="6"/>
        <v>1</v>
      </c>
      <c r="R24" s="3" t="s">
        <v>69</v>
      </c>
      <c r="S24" s="4" t="str">
        <f t="shared" si="7"/>
        <v>0</v>
      </c>
      <c r="T24" s="3" t="s">
        <v>68</v>
      </c>
      <c r="U24" s="4" t="str">
        <f t="shared" si="8"/>
        <v>1</v>
      </c>
    </row>
    <row r="25">
      <c r="A25" s="3" t="s">
        <v>21</v>
      </c>
      <c r="B25" s="3">
        <v>24.0</v>
      </c>
      <c r="C25" s="3" t="s">
        <v>70</v>
      </c>
      <c r="D25" s="3" t="s">
        <v>71</v>
      </c>
      <c r="E25" s="3" t="s">
        <v>70</v>
      </c>
      <c r="F25" s="3" t="s">
        <v>72</v>
      </c>
      <c r="G25" s="3" t="str">
        <f t="shared" si="1"/>
        <v>0</v>
      </c>
      <c r="H25" s="3" t="s">
        <v>72</v>
      </c>
      <c r="I25" s="3" t="str">
        <f t="shared" si="2"/>
        <v>0</v>
      </c>
      <c r="J25" s="3" t="s">
        <v>72</v>
      </c>
      <c r="K25" s="3" t="str">
        <f t="shared" si="3"/>
        <v>0</v>
      </c>
      <c r="L25" s="3" t="s">
        <v>72</v>
      </c>
      <c r="M25" s="3" t="str">
        <f t="shared" si="4"/>
        <v>0</v>
      </c>
      <c r="N25" s="3" t="s">
        <v>72</v>
      </c>
      <c r="O25" s="3" t="str">
        <f t="shared" si="5"/>
        <v>0</v>
      </c>
      <c r="P25" s="3" t="s">
        <v>72</v>
      </c>
      <c r="Q25" s="4" t="str">
        <f t="shared" si="6"/>
        <v>0</v>
      </c>
      <c r="R25" s="3" t="s">
        <v>72</v>
      </c>
      <c r="S25" s="4" t="str">
        <f t="shared" si="7"/>
        <v>0</v>
      </c>
      <c r="T25" s="3" t="s">
        <v>72</v>
      </c>
      <c r="U25" s="4" t="str">
        <f t="shared" si="8"/>
        <v>0</v>
      </c>
    </row>
    <row r="26">
      <c r="A26" s="3" t="s">
        <v>21</v>
      </c>
      <c r="B26" s="3">
        <v>25.0</v>
      </c>
      <c r="C26" s="3" t="s">
        <v>73</v>
      </c>
      <c r="D26" s="3" t="s">
        <v>74</v>
      </c>
      <c r="E26" s="3" t="s">
        <v>73</v>
      </c>
      <c r="F26" s="3" t="s">
        <v>73</v>
      </c>
      <c r="G26" s="3" t="str">
        <f t="shared" si="1"/>
        <v>1</v>
      </c>
      <c r="H26" s="3" t="s">
        <v>73</v>
      </c>
      <c r="I26" s="3" t="str">
        <f t="shared" si="2"/>
        <v>1</v>
      </c>
      <c r="J26" s="3" t="s">
        <v>73</v>
      </c>
      <c r="K26" s="3" t="str">
        <f t="shared" si="3"/>
        <v>1</v>
      </c>
      <c r="L26" s="3" t="s">
        <v>73</v>
      </c>
      <c r="M26" s="3" t="str">
        <f t="shared" si="4"/>
        <v>1</v>
      </c>
      <c r="N26" s="3" t="s">
        <v>73</v>
      </c>
      <c r="O26" s="3" t="str">
        <f t="shared" si="5"/>
        <v>1</v>
      </c>
      <c r="P26" s="3" t="s">
        <v>73</v>
      </c>
      <c r="Q26" s="4" t="str">
        <f t="shared" si="6"/>
        <v>1</v>
      </c>
      <c r="R26" s="3" t="s">
        <v>73</v>
      </c>
      <c r="S26" s="4" t="str">
        <f t="shared" si="7"/>
        <v>1</v>
      </c>
      <c r="T26" s="3" t="s">
        <v>73</v>
      </c>
      <c r="U26" s="4" t="str">
        <f t="shared" si="8"/>
        <v>1</v>
      </c>
    </row>
    <row r="27">
      <c r="A27" s="3" t="s">
        <v>21</v>
      </c>
      <c r="B27" s="3">
        <v>26.0</v>
      </c>
      <c r="C27" s="3" t="s">
        <v>75</v>
      </c>
      <c r="D27" s="3" t="s">
        <v>76</v>
      </c>
      <c r="E27" s="3" t="s">
        <v>76</v>
      </c>
      <c r="F27" s="3" t="s">
        <v>75</v>
      </c>
      <c r="G27" s="3" t="str">
        <f t="shared" si="1"/>
        <v>0</v>
      </c>
      <c r="H27" s="3" t="s">
        <v>75</v>
      </c>
      <c r="I27" s="3" t="str">
        <f t="shared" si="2"/>
        <v>0</v>
      </c>
      <c r="J27" s="3" t="s">
        <v>76</v>
      </c>
      <c r="K27" s="3" t="str">
        <f t="shared" si="3"/>
        <v>1</v>
      </c>
      <c r="L27" s="3" t="s">
        <v>76</v>
      </c>
      <c r="M27" s="3" t="str">
        <f t="shared" si="4"/>
        <v>1</v>
      </c>
      <c r="N27" s="3" t="s">
        <v>76</v>
      </c>
      <c r="O27" s="3" t="str">
        <f t="shared" si="5"/>
        <v>1</v>
      </c>
      <c r="P27" s="3" t="s">
        <v>76</v>
      </c>
      <c r="Q27" s="4" t="str">
        <f t="shared" si="6"/>
        <v>1</v>
      </c>
      <c r="R27" s="3" t="s">
        <v>75</v>
      </c>
      <c r="S27" s="4" t="str">
        <f t="shared" si="7"/>
        <v>0</v>
      </c>
      <c r="T27" s="3" t="s">
        <v>75</v>
      </c>
      <c r="U27" s="4" t="str">
        <f t="shared" si="8"/>
        <v>0</v>
      </c>
    </row>
    <row r="28">
      <c r="A28" s="3" t="s">
        <v>21</v>
      </c>
      <c r="B28" s="3">
        <v>27.0</v>
      </c>
      <c r="C28" s="3" t="s">
        <v>77</v>
      </c>
      <c r="D28" s="3" t="s">
        <v>78</v>
      </c>
      <c r="E28" s="3" t="s">
        <v>78</v>
      </c>
      <c r="F28" s="3" t="s">
        <v>77</v>
      </c>
      <c r="G28" s="3" t="str">
        <f t="shared" si="1"/>
        <v>0</v>
      </c>
      <c r="H28" s="3" t="s">
        <v>77</v>
      </c>
      <c r="I28" s="3" t="str">
        <f t="shared" si="2"/>
        <v>0</v>
      </c>
      <c r="J28" s="3" t="s">
        <v>77</v>
      </c>
      <c r="K28" s="3" t="str">
        <f t="shared" si="3"/>
        <v>0</v>
      </c>
      <c r="L28" s="3" t="s">
        <v>77</v>
      </c>
      <c r="M28" s="3" t="str">
        <f t="shared" si="4"/>
        <v>0</v>
      </c>
      <c r="N28" s="3" t="s">
        <v>77</v>
      </c>
      <c r="O28" s="3" t="str">
        <f t="shared" si="5"/>
        <v>0</v>
      </c>
      <c r="P28" s="3" t="s">
        <v>77</v>
      </c>
      <c r="Q28" s="4" t="str">
        <f t="shared" si="6"/>
        <v>0</v>
      </c>
      <c r="R28" s="3" t="s">
        <v>77</v>
      </c>
      <c r="S28" s="4" t="str">
        <f t="shared" si="7"/>
        <v>0</v>
      </c>
      <c r="T28" s="3" t="s">
        <v>77</v>
      </c>
      <c r="U28" s="4" t="str">
        <f t="shared" si="8"/>
        <v>0</v>
      </c>
    </row>
    <row r="29">
      <c r="A29" s="3" t="s">
        <v>21</v>
      </c>
      <c r="B29" s="3">
        <v>28.0</v>
      </c>
      <c r="C29" s="3" t="s">
        <v>79</v>
      </c>
      <c r="D29" s="3" t="s">
        <v>80</v>
      </c>
      <c r="E29" s="3" t="s">
        <v>79</v>
      </c>
      <c r="F29" s="3" t="s">
        <v>79</v>
      </c>
      <c r="G29" s="3" t="str">
        <f t="shared" si="1"/>
        <v>1</v>
      </c>
      <c r="H29" s="3" t="s">
        <v>79</v>
      </c>
      <c r="I29" s="3" t="str">
        <f t="shared" si="2"/>
        <v>1</v>
      </c>
      <c r="J29" s="3" t="s">
        <v>79</v>
      </c>
      <c r="K29" s="3" t="str">
        <f t="shared" si="3"/>
        <v>1</v>
      </c>
      <c r="L29" s="3" t="s">
        <v>79</v>
      </c>
      <c r="M29" s="3" t="str">
        <f t="shared" si="4"/>
        <v>1</v>
      </c>
      <c r="N29" s="3" t="s">
        <v>79</v>
      </c>
      <c r="O29" s="3" t="str">
        <f t="shared" si="5"/>
        <v>1</v>
      </c>
      <c r="P29" s="3" t="s">
        <v>79</v>
      </c>
      <c r="Q29" s="4" t="str">
        <f t="shared" si="6"/>
        <v>1</v>
      </c>
      <c r="R29" s="3" t="s">
        <v>79</v>
      </c>
      <c r="S29" s="4" t="str">
        <f t="shared" si="7"/>
        <v>1</v>
      </c>
      <c r="T29" s="3" t="s">
        <v>79</v>
      </c>
      <c r="U29" s="4" t="str">
        <f t="shared" si="8"/>
        <v>1</v>
      </c>
    </row>
    <row r="30">
      <c r="A30" s="3" t="s">
        <v>21</v>
      </c>
      <c r="B30" s="3">
        <v>29.0</v>
      </c>
      <c r="C30" s="3" t="s">
        <v>81</v>
      </c>
      <c r="D30" s="3" t="s">
        <v>82</v>
      </c>
      <c r="E30" s="3" t="s">
        <v>82</v>
      </c>
      <c r="F30" s="3" t="s">
        <v>81</v>
      </c>
      <c r="G30" s="3" t="str">
        <f t="shared" si="1"/>
        <v>0</v>
      </c>
      <c r="H30" s="3" t="s">
        <v>81</v>
      </c>
      <c r="I30" s="3" t="str">
        <f t="shared" si="2"/>
        <v>0</v>
      </c>
      <c r="J30" s="3" t="s">
        <v>81</v>
      </c>
      <c r="K30" s="3" t="str">
        <f t="shared" si="3"/>
        <v>0</v>
      </c>
      <c r="L30" s="3" t="s">
        <v>82</v>
      </c>
      <c r="M30" s="3" t="str">
        <f t="shared" si="4"/>
        <v>1</v>
      </c>
      <c r="N30" s="3" t="s">
        <v>82</v>
      </c>
      <c r="O30" s="3" t="str">
        <f t="shared" si="5"/>
        <v>1</v>
      </c>
      <c r="P30" s="3" t="s">
        <v>82</v>
      </c>
      <c r="Q30" s="4" t="str">
        <f t="shared" si="6"/>
        <v>1</v>
      </c>
      <c r="R30" s="3" t="s">
        <v>82</v>
      </c>
      <c r="S30" s="4" t="str">
        <f t="shared" si="7"/>
        <v>1</v>
      </c>
      <c r="T30" s="3" t="s">
        <v>81</v>
      </c>
      <c r="U30" s="4" t="str">
        <f t="shared" si="8"/>
        <v>0</v>
      </c>
    </row>
    <row r="31">
      <c r="A31" s="3" t="s">
        <v>21</v>
      </c>
      <c r="B31" s="3">
        <v>30.0</v>
      </c>
      <c r="C31" s="3" t="s">
        <v>83</v>
      </c>
      <c r="D31" s="3" t="s">
        <v>84</v>
      </c>
      <c r="E31" s="3" t="s">
        <v>83</v>
      </c>
      <c r="F31" s="3" t="s">
        <v>83</v>
      </c>
      <c r="G31" s="3" t="str">
        <f t="shared" si="1"/>
        <v>1</v>
      </c>
      <c r="H31" s="3" t="s">
        <v>83</v>
      </c>
      <c r="I31" s="3" t="str">
        <f t="shared" si="2"/>
        <v>1</v>
      </c>
      <c r="J31" s="3" t="s">
        <v>83</v>
      </c>
      <c r="K31" s="3" t="str">
        <f t="shared" si="3"/>
        <v>1</v>
      </c>
      <c r="L31" s="3" t="s">
        <v>83</v>
      </c>
      <c r="M31" s="3" t="str">
        <f t="shared" si="4"/>
        <v>1</v>
      </c>
      <c r="N31" s="3" t="s">
        <v>83</v>
      </c>
      <c r="O31" s="3" t="str">
        <f t="shared" si="5"/>
        <v>1</v>
      </c>
      <c r="P31" s="3" t="s">
        <v>83</v>
      </c>
      <c r="Q31" s="4" t="str">
        <f t="shared" si="6"/>
        <v>1</v>
      </c>
      <c r="R31" s="3" t="s">
        <v>83</v>
      </c>
      <c r="S31" s="4" t="str">
        <f t="shared" si="7"/>
        <v>1</v>
      </c>
      <c r="T31" s="3" t="s">
        <v>83</v>
      </c>
      <c r="U31" s="4" t="str">
        <f t="shared" si="8"/>
        <v>1</v>
      </c>
    </row>
    <row r="32">
      <c r="A32" s="3" t="s">
        <v>21</v>
      </c>
      <c r="B32" s="3">
        <v>31.0</v>
      </c>
      <c r="C32" s="3" t="s">
        <v>85</v>
      </c>
      <c r="D32" s="3" t="s">
        <v>86</v>
      </c>
      <c r="E32" s="3" t="s">
        <v>86</v>
      </c>
      <c r="F32" s="3" t="s">
        <v>85</v>
      </c>
      <c r="G32" s="3" t="str">
        <f t="shared" si="1"/>
        <v>0</v>
      </c>
      <c r="H32" s="3" t="s">
        <v>85</v>
      </c>
      <c r="I32" s="3" t="str">
        <f t="shared" si="2"/>
        <v>0</v>
      </c>
      <c r="J32" s="3" t="s">
        <v>86</v>
      </c>
      <c r="K32" s="3" t="str">
        <f t="shared" si="3"/>
        <v>1</v>
      </c>
      <c r="L32" s="3" t="s">
        <v>86</v>
      </c>
      <c r="M32" s="3" t="str">
        <f t="shared" si="4"/>
        <v>1</v>
      </c>
      <c r="N32" s="3" t="s">
        <v>86</v>
      </c>
      <c r="O32" s="3" t="str">
        <f t="shared" si="5"/>
        <v>1</v>
      </c>
      <c r="P32" s="3" t="s">
        <v>85</v>
      </c>
      <c r="Q32" s="4" t="str">
        <f t="shared" si="6"/>
        <v>0</v>
      </c>
      <c r="R32" s="3" t="s">
        <v>85</v>
      </c>
      <c r="S32" s="4" t="str">
        <f t="shared" si="7"/>
        <v>0</v>
      </c>
      <c r="T32" s="3" t="s">
        <v>85</v>
      </c>
      <c r="U32" s="4" t="str">
        <f t="shared" si="8"/>
        <v>0</v>
      </c>
    </row>
    <row r="33">
      <c r="A33" s="3" t="s">
        <v>21</v>
      </c>
      <c r="B33" s="3">
        <v>32.0</v>
      </c>
      <c r="C33" s="3" t="s">
        <v>87</v>
      </c>
      <c r="D33" s="3" t="s">
        <v>88</v>
      </c>
      <c r="E33" s="3" t="s">
        <v>87</v>
      </c>
      <c r="F33" s="3" t="s">
        <v>87</v>
      </c>
      <c r="G33" s="3" t="str">
        <f t="shared" si="1"/>
        <v>1</v>
      </c>
      <c r="H33" s="3" t="s">
        <v>87</v>
      </c>
      <c r="I33" s="3" t="str">
        <f t="shared" si="2"/>
        <v>1</v>
      </c>
      <c r="J33" s="3" t="s">
        <v>87</v>
      </c>
      <c r="K33" s="3" t="str">
        <f t="shared" si="3"/>
        <v>1</v>
      </c>
      <c r="L33" s="3" t="s">
        <v>87</v>
      </c>
      <c r="M33" s="3" t="str">
        <f t="shared" si="4"/>
        <v>1</v>
      </c>
      <c r="N33" s="3" t="s">
        <v>87</v>
      </c>
      <c r="O33" s="3" t="str">
        <f t="shared" si="5"/>
        <v>1</v>
      </c>
      <c r="P33" s="3" t="s">
        <v>87</v>
      </c>
      <c r="Q33" s="4" t="str">
        <f t="shared" si="6"/>
        <v>1</v>
      </c>
      <c r="R33" s="3" t="s">
        <v>87</v>
      </c>
      <c r="S33" s="4" t="str">
        <f t="shared" si="7"/>
        <v>1</v>
      </c>
      <c r="T33" s="3" t="s">
        <v>87</v>
      </c>
      <c r="U33" s="4" t="str">
        <f t="shared" si="8"/>
        <v>1</v>
      </c>
    </row>
    <row r="34">
      <c r="A34" s="3" t="s">
        <v>89</v>
      </c>
      <c r="B34" s="3">
        <v>1.0</v>
      </c>
      <c r="C34" s="3" t="s">
        <v>22</v>
      </c>
      <c r="D34" s="3" t="s">
        <v>25</v>
      </c>
      <c r="E34" s="3" t="s">
        <v>22</v>
      </c>
      <c r="F34" s="3" t="s">
        <v>22</v>
      </c>
      <c r="G34" s="3" t="str">
        <f t="shared" si="1"/>
        <v>1</v>
      </c>
      <c r="H34" s="3" t="s">
        <v>22</v>
      </c>
      <c r="I34" s="3" t="str">
        <f t="shared" si="2"/>
        <v>1</v>
      </c>
      <c r="J34" s="3" t="s">
        <v>25</v>
      </c>
      <c r="K34" s="3" t="str">
        <f t="shared" si="3"/>
        <v>0</v>
      </c>
      <c r="L34" s="3" t="s">
        <v>25</v>
      </c>
      <c r="M34" s="3" t="str">
        <f t="shared" si="4"/>
        <v>0</v>
      </c>
      <c r="N34" s="3" t="s">
        <v>22</v>
      </c>
      <c r="O34" s="3" t="str">
        <f t="shared" si="5"/>
        <v>1</v>
      </c>
      <c r="P34" s="3" t="s">
        <v>25</v>
      </c>
      <c r="Q34" s="4" t="str">
        <f t="shared" si="6"/>
        <v>0</v>
      </c>
      <c r="R34" s="3" t="s">
        <v>22</v>
      </c>
      <c r="S34" s="4" t="str">
        <f t="shared" si="7"/>
        <v>1</v>
      </c>
      <c r="T34" s="3" t="s">
        <v>22</v>
      </c>
      <c r="U34" s="4" t="str">
        <f t="shared" si="8"/>
        <v>1</v>
      </c>
    </row>
    <row r="35">
      <c r="A35" s="3" t="s">
        <v>89</v>
      </c>
      <c r="B35" s="3">
        <v>2.0</v>
      </c>
      <c r="C35" s="3" t="s">
        <v>27</v>
      </c>
      <c r="D35" s="3" t="s">
        <v>28</v>
      </c>
      <c r="E35" s="3" t="s">
        <v>28</v>
      </c>
      <c r="F35" s="3" t="s">
        <v>26</v>
      </c>
      <c r="G35" s="3" t="str">
        <f t="shared" si="1"/>
        <v>0</v>
      </c>
      <c r="H35" s="3" t="s">
        <v>28</v>
      </c>
      <c r="I35" s="3" t="str">
        <f t="shared" si="2"/>
        <v>1</v>
      </c>
      <c r="J35" s="3" t="s">
        <v>28</v>
      </c>
      <c r="K35" s="3" t="str">
        <f t="shared" si="3"/>
        <v>1</v>
      </c>
      <c r="L35" s="3" t="s">
        <v>28</v>
      </c>
      <c r="M35" s="3" t="str">
        <f t="shared" si="4"/>
        <v>1</v>
      </c>
      <c r="N35" s="3" t="s">
        <v>26</v>
      </c>
      <c r="O35" s="3" t="str">
        <f t="shared" si="5"/>
        <v>0</v>
      </c>
      <c r="P35" s="3" t="s">
        <v>28</v>
      </c>
      <c r="Q35" s="4" t="str">
        <f t="shared" si="6"/>
        <v>1</v>
      </c>
      <c r="R35" s="3" t="s">
        <v>28</v>
      </c>
      <c r="S35" s="4" t="str">
        <f t="shared" si="7"/>
        <v>1</v>
      </c>
      <c r="T35" s="3" t="s">
        <v>28</v>
      </c>
      <c r="U35" s="4" t="str">
        <f t="shared" si="8"/>
        <v>1</v>
      </c>
    </row>
    <row r="36">
      <c r="A36" s="3" t="s">
        <v>89</v>
      </c>
      <c r="B36" s="3">
        <v>3.0</v>
      </c>
      <c r="C36" s="3" t="s">
        <v>31</v>
      </c>
      <c r="D36" s="3" t="s">
        <v>32</v>
      </c>
      <c r="E36" s="3" t="s">
        <v>32</v>
      </c>
      <c r="F36" s="3" t="s">
        <v>32</v>
      </c>
      <c r="G36" s="3" t="str">
        <f t="shared" si="1"/>
        <v>1</v>
      </c>
      <c r="H36" s="3" t="s">
        <v>32</v>
      </c>
      <c r="I36" s="3" t="str">
        <f t="shared" si="2"/>
        <v>1</v>
      </c>
      <c r="J36" s="3" t="s">
        <v>30</v>
      </c>
      <c r="K36" s="3" t="str">
        <f t="shared" si="3"/>
        <v>0</v>
      </c>
      <c r="L36" s="3" t="s">
        <v>30</v>
      </c>
      <c r="M36" s="3" t="str">
        <f t="shared" si="4"/>
        <v>0</v>
      </c>
      <c r="N36" s="3" t="s">
        <v>30</v>
      </c>
      <c r="O36" s="3" t="str">
        <f t="shared" si="5"/>
        <v>0</v>
      </c>
      <c r="P36" s="3" t="s">
        <v>30</v>
      </c>
      <c r="Q36" s="4" t="str">
        <f t="shared" si="6"/>
        <v>0</v>
      </c>
      <c r="R36" s="3" t="s">
        <v>32</v>
      </c>
      <c r="S36" s="4" t="str">
        <f t="shared" si="7"/>
        <v>1</v>
      </c>
      <c r="T36" s="3" t="s">
        <v>32</v>
      </c>
      <c r="U36" s="4" t="str">
        <f t="shared" si="8"/>
        <v>1</v>
      </c>
    </row>
    <row r="37">
      <c r="A37" s="3" t="s">
        <v>89</v>
      </c>
      <c r="B37" s="3">
        <v>4.0</v>
      </c>
      <c r="C37" s="3" t="s">
        <v>34</v>
      </c>
      <c r="D37" s="3" t="s">
        <v>36</v>
      </c>
      <c r="E37" s="3" t="s">
        <v>36</v>
      </c>
      <c r="F37" s="3" t="s">
        <v>36</v>
      </c>
      <c r="G37" s="3" t="str">
        <f t="shared" si="1"/>
        <v>1</v>
      </c>
      <c r="H37" s="3" t="s">
        <v>36</v>
      </c>
      <c r="I37" s="3" t="str">
        <f t="shared" si="2"/>
        <v>1</v>
      </c>
      <c r="J37" s="3" t="s">
        <v>34</v>
      </c>
      <c r="K37" s="3" t="str">
        <f t="shared" si="3"/>
        <v>0</v>
      </c>
      <c r="L37" s="3" t="s">
        <v>34</v>
      </c>
      <c r="M37" s="3" t="str">
        <f t="shared" si="4"/>
        <v>0</v>
      </c>
      <c r="N37" s="3" t="s">
        <v>34</v>
      </c>
      <c r="O37" s="3" t="str">
        <f t="shared" si="5"/>
        <v>0</v>
      </c>
      <c r="P37" s="3" t="s">
        <v>34</v>
      </c>
      <c r="Q37" s="4" t="str">
        <f t="shared" si="6"/>
        <v>0</v>
      </c>
      <c r="R37" s="3" t="s">
        <v>36</v>
      </c>
      <c r="S37" s="4" t="str">
        <f t="shared" si="7"/>
        <v>1</v>
      </c>
      <c r="T37" s="3" t="s">
        <v>36</v>
      </c>
      <c r="U37" s="4" t="str">
        <f t="shared" si="8"/>
        <v>1</v>
      </c>
    </row>
    <row r="38">
      <c r="A38" s="3" t="s">
        <v>89</v>
      </c>
      <c r="B38" s="3">
        <v>5.0</v>
      </c>
      <c r="C38" s="3" t="s">
        <v>38</v>
      </c>
      <c r="D38" s="3" t="s">
        <v>40</v>
      </c>
      <c r="E38" s="3" t="s">
        <v>40</v>
      </c>
      <c r="F38" s="3" t="s">
        <v>38</v>
      </c>
      <c r="G38" s="3" t="str">
        <f t="shared" si="1"/>
        <v>0</v>
      </c>
      <c r="H38" s="3" t="s">
        <v>38</v>
      </c>
      <c r="I38" s="3" t="str">
        <f t="shared" si="2"/>
        <v>0</v>
      </c>
      <c r="J38" s="3" t="s">
        <v>41</v>
      </c>
      <c r="K38" s="3" t="str">
        <f t="shared" si="3"/>
        <v>0</v>
      </c>
      <c r="L38" s="3" t="s">
        <v>38</v>
      </c>
      <c r="M38" s="3" t="str">
        <f t="shared" si="4"/>
        <v>0</v>
      </c>
      <c r="N38" s="3" t="s">
        <v>38</v>
      </c>
      <c r="O38" s="3" t="str">
        <f t="shared" si="5"/>
        <v>0</v>
      </c>
      <c r="P38" s="3" t="s">
        <v>38</v>
      </c>
      <c r="Q38" s="4" t="str">
        <f t="shared" si="6"/>
        <v>0</v>
      </c>
      <c r="R38" s="3" t="s">
        <v>38</v>
      </c>
      <c r="S38" s="4" t="str">
        <f t="shared" si="7"/>
        <v>0</v>
      </c>
      <c r="T38" s="3" t="s">
        <v>38</v>
      </c>
      <c r="U38" s="4" t="str">
        <f t="shared" si="8"/>
        <v>0</v>
      </c>
    </row>
    <row r="39">
      <c r="A39" s="3" t="s">
        <v>89</v>
      </c>
      <c r="B39" s="3">
        <v>6.0</v>
      </c>
      <c r="C39" s="3" t="s">
        <v>43</v>
      </c>
      <c r="D39" s="3" t="s">
        <v>45</v>
      </c>
      <c r="E39" s="3" t="s">
        <v>45</v>
      </c>
      <c r="F39" s="3" t="s">
        <v>45</v>
      </c>
      <c r="G39" s="3" t="str">
        <f t="shared" si="1"/>
        <v>1</v>
      </c>
      <c r="H39" s="3" t="s">
        <v>45</v>
      </c>
      <c r="I39" s="3" t="str">
        <f t="shared" si="2"/>
        <v>1</v>
      </c>
      <c r="J39" s="3" t="s">
        <v>44</v>
      </c>
      <c r="K39" s="3" t="str">
        <f t="shared" si="3"/>
        <v>0</v>
      </c>
      <c r="L39" s="3" t="s">
        <v>45</v>
      </c>
      <c r="M39" s="3" t="str">
        <f t="shared" si="4"/>
        <v>1</v>
      </c>
      <c r="N39" s="3" t="s">
        <v>44</v>
      </c>
      <c r="O39" s="3" t="str">
        <f t="shared" si="5"/>
        <v>0</v>
      </c>
      <c r="P39" s="3" t="s">
        <v>45</v>
      </c>
      <c r="Q39" s="4" t="str">
        <f t="shared" si="6"/>
        <v>1</v>
      </c>
      <c r="R39" s="3" t="s">
        <v>45</v>
      </c>
      <c r="S39" s="4" t="str">
        <f t="shared" si="7"/>
        <v>1</v>
      </c>
      <c r="T39" s="3" t="s">
        <v>43</v>
      </c>
      <c r="U39" s="4" t="str">
        <f t="shared" si="8"/>
        <v>0</v>
      </c>
    </row>
    <row r="40">
      <c r="A40" s="3" t="s">
        <v>89</v>
      </c>
      <c r="B40" s="3">
        <v>7.0</v>
      </c>
      <c r="C40" s="3" t="s">
        <v>47</v>
      </c>
      <c r="D40" s="3" t="s">
        <v>49</v>
      </c>
      <c r="E40" s="3" t="s">
        <v>49</v>
      </c>
      <c r="F40" s="3" t="s">
        <v>49</v>
      </c>
      <c r="G40" s="3" t="str">
        <f t="shared" si="1"/>
        <v>1</v>
      </c>
      <c r="H40" s="3" t="s">
        <v>47</v>
      </c>
      <c r="I40" s="3" t="str">
        <f t="shared" si="2"/>
        <v>0</v>
      </c>
      <c r="J40" s="3" t="s">
        <v>49</v>
      </c>
      <c r="K40" s="3" t="str">
        <f t="shared" si="3"/>
        <v>1</v>
      </c>
      <c r="L40" s="3" t="s">
        <v>49</v>
      </c>
      <c r="M40" s="3" t="str">
        <f t="shared" si="4"/>
        <v>1</v>
      </c>
      <c r="N40" s="3" t="s">
        <v>47</v>
      </c>
      <c r="O40" s="3" t="str">
        <f t="shared" si="5"/>
        <v>0</v>
      </c>
      <c r="P40" s="3" t="s">
        <v>49</v>
      </c>
      <c r="Q40" s="4" t="str">
        <f t="shared" si="6"/>
        <v>1</v>
      </c>
      <c r="R40" s="3" t="s">
        <v>49</v>
      </c>
      <c r="S40" s="4" t="str">
        <f t="shared" si="7"/>
        <v>1</v>
      </c>
      <c r="T40" s="3" t="s">
        <v>49</v>
      </c>
      <c r="U40" s="4" t="str">
        <f t="shared" si="8"/>
        <v>1</v>
      </c>
    </row>
    <row r="41">
      <c r="A41" s="3" t="s">
        <v>89</v>
      </c>
      <c r="B41" s="3">
        <v>8.0</v>
      </c>
      <c r="C41" s="3" t="s">
        <v>51</v>
      </c>
      <c r="D41" s="3" t="s">
        <v>54</v>
      </c>
      <c r="E41" s="3" t="s">
        <v>54</v>
      </c>
      <c r="F41" s="3" t="s">
        <v>53</v>
      </c>
      <c r="G41" s="3" t="str">
        <f t="shared" si="1"/>
        <v>0</v>
      </c>
      <c r="H41" s="3" t="s">
        <v>53</v>
      </c>
      <c r="I41" s="3" t="str">
        <f t="shared" si="2"/>
        <v>0</v>
      </c>
      <c r="J41" s="3" t="s">
        <v>53</v>
      </c>
      <c r="K41" s="3" t="str">
        <f t="shared" si="3"/>
        <v>0</v>
      </c>
      <c r="L41" s="3" t="s">
        <v>53</v>
      </c>
      <c r="M41" s="3" t="str">
        <f t="shared" si="4"/>
        <v>0</v>
      </c>
      <c r="N41" s="3" t="s">
        <v>53</v>
      </c>
      <c r="O41" s="3" t="str">
        <f t="shared" si="5"/>
        <v>0</v>
      </c>
      <c r="P41" s="3" t="s">
        <v>53</v>
      </c>
      <c r="Q41" s="4" t="str">
        <f t="shared" si="6"/>
        <v>0</v>
      </c>
      <c r="R41" s="3" t="s">
        <v>53</v>
      </c>
      <c r="S41" s="4" t="str">
        <f t="shared" si="7"/>
        <v>0</v>
      </c>
      <c r="T41" s="3" t="s">
        <v>53</v>
      </c>
      <c r="U41" s="4" t="str">
        <f t="shared" si="8"/>
        <v>0</v>
      </c>
    </row>
    <row r="42">
      <c r="A42" s="3" t="s">
        <v>89</v>
      </c>
      <c r="B42" s="3">
        <v>9.0</v>
      </c>
      <c r="C42" s="3" t="s">
        <v>55</v>
      </c>
      <c r="D42" s="3" t="s">
        <v>58</v>
      </c>
      <c r="E42" s="3" t="s">
        <v>55</v>
      </c>
      <c r="F42" s="3" t="s">
        <v>55</v>
      </c>
      <c r="G42" s="3" t="str">
        <f t="shared" si="1"/>
        <v>1</v>
      </c>
      <c r="H42" s="3" t="s">
        <v>55</v>
      </c>
      <c r="I42" s="3" t="str">
        <f t="shared" si="2"/>
        <v>1</v>
      </c>
      <c r="J42" s="3" t="s">
        <v>57</v>
      </c>
      <c r="K42" s="3" t="str">
        <f t="shared" si="3"/>
        <v>0</v>
      </c>
      <c r="L42" s="3" t="s">
        <v>58</v>
      </c>
      <c r="M42" s="3" t="str">
        <f t="shared" si="4"/>
        <v>0</v>
      </c>
      <c r="N42" s="3" t="s">
        <v>58</v>
      </c>
      <c r="O42" s="3" t="str">
        <f t="shared" si="5"/>
        <v>0</v>
      </c>
      <c r="P42" s="3" t="s">
        <v>58</v>
      </c>
      <c r="Q42" s="4" t="str">
        <f t="shared" si="6"/>
        <v>0</v>
      </c>
      <c r="R42" s="3" t="s">
        <v>55</v>
      </c>
      <c r="S42" s="4" t="str">
        <f t="shared" si="7"/>
        <v>1</v>
      </c>
      <c r="T42" s="3" t="s">
        <v>55</v>
      </c>
      <c r="U42" s="4" t="str">
        <f t="shared" si="8"/>
        <v>1</v>
      </c>
    </row>
    <row r="43">
      <c r="A43" s="3" t="s">
        <v>89</v>
      </c>
      <c r="B43" s="3">
        <v>10.0</v>
      </c>
      <c r="C43" s="3" t="s">
        <v>59</v>
      </c>
      <c r="D43" s="3" t="s">
        <v>61</v>
      </c>
      <c r="E43" s="3" t="s">
        <v>59</v>
      </c>
      <c r="F43" s="3" t="s">
        <v>59</v>
      </c>
      <c r="G43" s="3" t="str">
        <f t="shared" si="1"/>
        <v>1</v>
      </c>
      <c r="H43" s="3" t="s">
        <v>59</v>
      </c>
      <c r="I43" s="3" t="str">
        <f t="shared" si="2"/>
        <v>1</v>
      </c>
      <c r="J43" s="3" t="s">
        <v>63</v>
      </c>
      <c r="K43" s="3" t="str">
        <f t="shared" si="3"/>
        <v>0</v>
      </c>
      <c r="L43" s="3" t="s">
        <v>63</v>
      </c>
      <c r="M43" s="3" t="str">
        <f t="shared" si="4"/>
        <v>0</v>
      </c>
      <c r="N43" s="3" t="s">
        <v>63</v>
      </c>
      <c r="O43" s="3" t="str">
        <f t="shared" si="5"/>
        <v>0</v>
      </c>
      <c r="P43" s="3" t="s">
        <v>63</v>
      </c>
      <c r="Q43" s="4" t="str">
        <f t="shared" si="6"/>
        <v>0</v>
      </c>
      <c r="R43" s="3" t="s">
        <v>59</v>
      </c>
      <c r="S43" s="4" t="str">
        <f t="shared" si="7"/>
        <v>1</v>
      </c>
      <c r="T43" s="3" t="s">
        <v>63</v>
      </c>
      <c r="U43" s="4" t="str">
        <f t="shared" si="8"/>
        <v>0</v>
      </c>
    </row>
    <row r="44">
      <c r="A44" s="3" t="s">
        <v>89</v>
      </c>
      <c r="B44" s="3">
        <v>11.0</v>
      </c>
      <c r="C44" s="3" t="s">
        <v>65</v>
      </c>
      <c r="D44" s="3" t="s">
        <v>66</v>
      </c>
      <c r="E44" s="3" t="s">
        <v>65</v>
      </c>
      <c r="F44" s="3" t="s">
        <v>66</v>
      </c>
      <c r="G44" s="3" t="str">
        <f t="shared" si="1"/>
        <v>0</v>
      </c>
      <c r="H44" s="3" t="s">
        <v>66</v>
      </c>
      <c r="I44" s="3" t="str">
        <f t="shared" si="2"/>
        <v>0</v>
      </c>
      <c r="J44" s="3" t="s">
        <v>65</v>
      </c>
      <c r="K44" s="3" t="str">
        <f t="shared" si="3"/>
        <v>1</v>
      </c>
      <c r="L44" s="3" t="s">
        <v>66</v>
      </c>
      <c r="M44" s="3" t="str">
        <f t="shared" si="4"/>
        <v>0</v>
      </c>
      <c r="N44" s="3" t="s">
        <v>66</v>
      </c>
      <c r="O44" s="3" t="str">
        <f t="shared" si="5"/>
        <v>0</v>
      </c>
      <c r="P44" s="3" t="s">
        <v>65</v>
      </c>
      <c r="Q44" s="4" t="str">
        <f t="shared" si="6"/>
        <v>1</v>
      </c>
      <c r="R44" s="3" t="s">
        <v>66</v>
      </c>
      <c r="S44" s="4" t="str">
        <f t="shared" si="7"/>
        <v>0</v>
      </c>
      <c r="T44" s="3" t="s">
        <v>66</v>
      </c>
      <c r="U44" s="4" t="str">
        <f t="shared" si="8"/>
        <v>0</v>
      </c>
    </row>
    <row r="45">
      <c r="A45" s="3" t="s">
        <v>89</v>
      </c>
      <c r="B45" s="3">
        <v>12.0</v>
      </c>
      <c r="C45" s="3" t="s">
        <v>68</v>
      </c>
      <c r="D45" s="3" t="s">
        <v>70</v>
      </c>
      <c r="E45" s="3" t="s">
        <v>70</v>
      </c>
      <c r="F45" s="3" t="s">
        <v>72</v>
      </c>
      <c r="G45" s="3" t="str">
        <f t="shared" si="1"/>
        <v>0</v>
      </c>
      <c r="H45" s="3" t="s">
        <v>72</v>
      </c>
      <c r="I45" s="3" t="str">
        <f t="shared" si="2"/>
        <v>0</v>
      </c>
      <c r="J45" s="3" t="s">
        <v>72</v>
      </c>
      <c r="K45" s="3" t="str">
        <f t="shared" si="3"/>
        <v>0</v>
      </c>
      <c r="L45" s="3" t="s">
        <v>68</v>
      </c>
      <c r="M45" s="3" t="str">
        <f t="shared" si="4"/>
        <v>0</v>
      </c>
      <c r="N45" s="3" t="s">
        <v>72</v>
      </c>
      <c r="O45" s="3" t="str">
        <f t="shared" si="5"/>
        <v>0</v>
      </c>
      <c r="P45" s="3" t="s">
        <v>72</v>
      </c>
      <c r="Q45" s="4" t="str">
        <f t="shared" si="6"/>
        <v>0</v>
      </c>
      <c r="R45" s="3" t="s">
        <v>72</v>
      </c>
      <c r="S45" s="4" t="str">
        <f t="shared" si="7"/>
        <v>0</v>
      </c>
      <c r="T45" s="3" t="s">
        <v>72</v>
      </c>
      <c r="U45" s="4" t="str">
        <f t="shared" si="8"/>
        <v>0</v>
      </c>
    </row>
    <row r="46">
      <c r="A46" s="3" t="s">
        <v>89</v>
      </c>
      <c r="B46" s="3">
        <v>13.0</v>
      </c>
      <c r="C46" s="3" t="s">
        <v>73</v>
      </c>
      <c r="D46" s="3" t="s">
        <v>76</v>
      </c>
      <c r="E46" s="3" t="s">
        <v>73</v>
      </c>
      <c r="F46" s="3" t="s">
        <v>73</v>
      </c>
      <c r="G46" s="3" t="str">
        <f t="shared" si="1"/>
        <v>1</v>
      </c>
      <c r="H46" s="3" t="s">
        <v>73</v>
      </c>
      <c r="I46" s="3" t="str">
        <f t="shared" si="2"/>
        <v>1</v>
      </c>
      <c r="J46" s="3" t="s">
        <v>73</v>
      </c>
      <c r="K46" s="3" t="str">
        <f t="shared" si="3"/>
        <v>1</v>
      </c>
      <c r="L46" s="3" t="s">
        <v>73</v>
      </c>
      <c r="M46" s="3" t="str">
        <f t="shared" si="4"/>
        <v>1</v>
      </c>
      <c r="N46" s="3" t="s">
        <v>73</v>
      </c>
      <c r="O46" s="3" t="str">
        <f t="shared" si="5"/>
        <v>1</v>
      </c>
      <c r="P46" s="3" t="s">
        <v>73</v>
      </c>
      <c r="Q46" s="4" t="str">
        <f t="shared" si="6"/>
        <v>1</v>
      </c>
      <c r="R46" s="3" t="s">
        <v>73</v>
      </c>
      <c r="S46" s="4" t="str">
        <f t="shared" si="7"/>
        <v>1</v>
      </c>
      <c r="T46" s="3" t="s">
        <v>73</v>
      </c>
      <c r="U46" s="4" t="str">
        <f t="shared" si="8"/>
        <v>1</v>
      </c>
    </row>
    <row r="47">
      <c r="A47" s="3" t="s">
        <v>89</v>
      </c>
      <c r="B47" s="3">
        <v>14.0</v>
      </c>
      <c r="C47" s="3" t="s">
        <v>78</v>
      </c>
      <c r="D47" s="3" t="s">
        <v>79</v>
      </c>
      <c r="E47" s="3" t="s">
        <v>79</v>
      </c>
      <c r="F47" s="3" t="s">
        <v>77</v>
      </c>
      <c r="G47" s="3" t="str">
        <f t="shared" si="1"/>
        <v>0</v>
      </c>
      <c r="H47" s="3" t="s">
        <v>77</v>
      </c>
      <c r="I47" s="3" t="str">
        <f t="shared" si="2"/>
        <v>0</v>
      </c>
      <c r="J47" s="3" t="s">
        <v>79</v>
      </c>
      <c r="K47" s="3" t="str">
        <f t="shared" si="3"/>
        <v>1</v>
      </c>
      <c r="L47" s="3" t="s">
        <v>77</v>
      </c>
      <c r="M47" s="3" t="str">
        <f t="shared" si="4"/>
        <v>0</v>
      </c>
      <c r="N47" s="3" t="s">
        <v>77</v>
      </c>
      <c r="O47" s="3" t="str">
        <f t="shared" si="5"/>
        <v>0</v>
      </c>
      <c r="P47" s="3" t="s">
        <v>79</v>
      </c>
      <c r="Q47" s="4" t="str">
        <f t="shared" si="6"/>
        <v>1</v>
      </c>
      <c r="R47" s="3" t="s">
        <v>79</v>
      </c>
      <c r="S47" s="4" t="str">
        <f t="shared" si="7"/>
        <v>1</v>
      </c>
      <c r="T47" s="3" t="s">
        <v>79</v>
      </c>
      <c r="U47" s="4" t="str">
        <f t="shared" si="8"/>
        <v>1</v>
      </c>
    </row>
    <row r="48">
      <c r="A48" s="3" t="s">
        <v>89</v>
      </c>
      <c r="B48" s="3">
        <v>15.0</v>
      </c>
      <c r="C48" s="3" t="s">
        <v>82</v>
      </c>
      <c r="D48" s="3" t="s">
        <v>83</v>
      </c>
      <c r="E48" s="3" t="s">
        <v>82</v>
      </c>
      <c r="F48" s="3" t="s">
        <v>81</v>
      </c>
      <c r="G48" s="3" t="str">
        <f t="shared" si="1"/>
        <v>0</v>
      </c>
      <c r="H48" s="3" t="s">
        <v>81</v>
      </c>
      <c r="I48" s="3" t="str">
        <f t="shared" si="2"/>
        <v>0</v>
      </c>
      <c r="J48" s="3" t="s">
        <v>83</v>
      </c>
      <c r="K48" s="3" t="str">
        <f t="shared" si="3"/>
        <v>0</v>
      </c>
      <c r="L48" s="3" t="s">
        <v>83</v>
      </c>
      <c r="M48" s="3" t="str">
        <f t="shared" si="4"/>
        <v>0</v>
      </c>
      <c r="N48" s="3" t="s">
        <v>82</v>
      </c>
      <c r="O48" s="3" t="str">
        <f t="shared" si="5"/>
        <v>1</v>
      </c>
      <c r="P48" s="3" t="s">
        <v>82</v>
      </c>
      <c r="Q48" s="4" t="str">
        <f t="shared" si="6"/>
        <v>1</v>
      </c>
      <c r="R48" s="3" t="s">
        <v>83</v>
      </c>
      <c r="S48" s="4" t="str">
        <f t="shared" si="7"/>
        <v>0</v>
      </c>
      <c r="T48" s="3" t="s">
        <v>83</v>
      </c>
      <c r="U48" s="4" t="str">
        <f t="shared" si="8"/>
        <v>0</v>
      </c>
    </row>
    <row r="49">
      <c r="A49" s="3" t="s">
        <v>89</v>
      </c>
      <c r="B49" s="3">
        <v>16.0</v>
      </c>
      <c r="C49" s="3" t="s">
        <v>86</v>
      </c>
      <c r="D49" s="3" t="s">
        <v>87</v>
      </c>
      <c r="E49" s="3" t="s">
        <v>86</v>
      </c>
      <c r="F49" s="3" t="s">
        <v>87</v>
      </c>
      <c r="G49" s="3" t="str">
        <f t="shared" si="1"/>
        <v>0</v>
      </c>
      <c r="H49" s="3" t="s">
        <v>87</v>
      </c>
      <c r="I49" s="3" t="str">
        <f t="shared" si="2"/>
        <v>0</v>
      </c>
      <c r="J49" s="3" t="s">
        <v>87</v>
      </c>
      <c r="K49" s="3" t="str">
        <f t="shared" si="3"/>
        <v>0</v>
      </c>
      <c r="L49" s="3" t="s">
        <v>87</v>
      </c>
      <c r="M49" s="3" t="str">
        <f t="shared" si="4"/>
        <v>0</v>
      </c>
      <c r="N49" s="3" t="s">
        <v>87</v>
      </c>
      <c r="O49" s="3" t="str">
        <f t="shared" si="5"/>
        <v>0</v>
      </c>
      <c r="P49" s="3" t="s">
        <v>87</v>
      </c>
      <c r="Q49" s="4" t="str">
        <f t="shared" si="6"/>
        <v>0</v>
      </c>
      <c r="R49" s="3" t="s">
        <v>87</v>
      </c>
      <c r="S49" s="4" t="str">
        <f t="shared" si="7"/>
        <v>0</v>
      </c>
      <c r="T49" s="3" t="s">
        <v>87</v>
      </c>
      <c r="U49" s="4" t="str">
        <f t="shared" si="8"/>
        <v>0</v>
      </c>
    </row>
    <row r="50">
      <c r="A50" s="3" t="s">
        <v>90</v>
      </c>
      <c r="B50" s="3">
        <v>1.0</v>
      </c>
      <c r="C50" s="3" t="s">
        <v>22</v>
      </c>
      <c r="D50" s="3" t="s">
        <v>28</v>
      </c>
      <c r="E50" s="3" t="s">
        <v>28</v>
      </c>
      <c r="F50" s="3" t="s">
        <v>22</v>
      </c>
      <c r="G50" s="3" t="str">
        <f t="shared" si="1"/>
        <v>0</v>
      </c>
      <c r="H50" s="3" t="s">
        <v>22</v>
      </c>
      <c r="I50" s="3" t="str">
        <f t="shared" si="2"/>
        <v>0</v>
      </c>
      <c r="J50" s="3" t="s">
        <v>28</v>
      </c>
      <c r="K50" s="3" t="str">
        <f t="shared" si="3"/>
        <v>1</v>
      </c>
      <c r="L50" s="3" t="s">
        <v>28</v>
      </c>
      <c r="M50" s="3" t="str">
        <f t="shared" si="4"/>
        <v>1</v>
      </c>
      <c r="N50" s="3" t="s">
        <v>26</v>
      </c>
      <c r="O50" s="3" t="str">
        <f t="shared" si="5"/>
        <v>0</v>
      </c>
      <c r="P50" s="3" t="s">
        <v>22</v>
      </c>
      <c r="Q50" s="4" t="str">
        <f t="shared" si="6"/>
        <v>0</v>
      </c>
      <c r="R50" s="3" t="s">
        <v>22</v>
      </c>
      <c r="S50" s="4" t="str">
        <f t="shared" si="7"/>
        <v>0</v>
      </c>
      <c r="T50" s="3" t="s">
        <v>22</v>
      </c>
      <c r="U50" s="4" t="str">
        <f t="shared" si="8"/>
        <v>0</v>
      </c>
    </row>
    <row r="51">
      <c r="A51" s="3" t="s">
        <v>90</v>
      </c>
      <c r="B51" s="3">
        <v>2.0</v>
      </c>
      <c r="C51" s="3" t="s">
        <v>32</v>
      </c>
      <c r="D51" s="3" t="s">
        <v>36</v>
      </c>
      <c r="E51" s="3" t="s">
        <v>36</v>
      </c>
      <c r="F51" s="3" t="s">
        <v>32</v>
      </c>
      <c r="G51" s="3" t="str">
        <f t="shared" si="1"/>
        <v>0</v>
      </c>
      <c r="H51" s="3" t="s">
        <v>36</v>
      </c>
      <c r="I51" s="3" t="str">
        <f t="shared" si="2"/>
        <v>1</v>
      </c>
      <c r="J51" s="3" t="s">
        <v>30</v>
      </c>
      <c r="K51" s="3" t="str">
        <f t="shared" si="3"/>
        <v>0</v>
      </c>
      <c r="L51" s="3" t="s">
        <v>34</v>
      </c>
      <c r="M51" s="3" t="str">
        <f t="shared" si="4"/>
        <v>0</v>
      </c>
      <c r="N51" s="3" t="s">
        <v>30</v>
      </c>
      <c r="O51" s="3" t="str">
        <f t="shared" si="5"/>
        <v>0</v>
      </c>
      <c r="P51" s="3" t="s">
        <v>30</v>
      </c>
      <c r="Q51" s="4" t="str">
        <f t="shared" si="6"/>
        <v>0</v>
      </c>
      <c r="R51" s="3" t="s">
        <v>36</v>
      </c>
      <c r="S51" s="4" t="str">
        <f t="shared" si="7"/>
        <v>1</v>
      </c>
      <c r="T51" s="3" t="s">
        <v>32</v>
      </c>
      <c r="U51" s="4" t="str">
        <f t="shared" si="8"/>
        <v>0</v>
      </c>
    </row>
    <row r="52">
      <c r="A52" s="3" t="s">
        <v>90</v>
      </c>
      <c r="B52" s="3">
        <v>3.0</v>
      </c>
      <c r="C52" s="3" t="s">
        <v>40</v>
      </c>
      <c r="D52" s="3" t="s">
        <v>45</v>
      </c>
      <c r="E52" s="3" t="s">
        <v>40</v>
      </c>
      <c r="F52" s="3" t="s">
        <v>38</v>
      </c>
      <c r="G52" s="3" t="str">
        <f t="shared" si="1"/>
        <v>0</v>
      </c>
      <c r="H52" s="3" t="s">
        <v>38</v>
      </c>
      <c r="I52" s="3" t="str">
        <f t="shared" si="2"/>
        <v>0</v>
      </c>
      <c r="J52" s="3" t="s">
        <v>41</v>
      </c>
      <c r="K52" s="3" t="str">
        <f t="shared" si="3"/>
        <v>0</v>
      </c>
      <c r="L52" s="3" t="s">
        <v>38</v>
      </c>
      <c r="M52" s="3" t="str">
        <f t="shared" si="4"/>
        <v>0</v>
      </c>
      <c r="N52" s="3" t="s">
        <v>38</v>
      </c>
      <c r="O52" s="3" t="str">
        <f t="shared" si="5"/>
        <v>0</v>
      </c>
      <c r="P52" s="3" t="s">
        <v>38</v>
      </c>
      <c r="Q52" s="4" t="str">
        <f t="shared" si="6"/>
        <v>0</v>
      </c>
      <c r="R52" s="3" t="s">
        <v>38</v>
      </c>
      <c r="S52" s="4" t="str">
        <f t="shared" si="7"/>
        <v>0</v>
      </c>
      <c r="T52" s="3" t="s">
        <v>38</v>
      </c>
      <c r="U52" s="4" t="str">
        <f t="shared" si="8"/>
        <v>0</v>
      </c>
    </row>
    <row r="53">
      <c r="A53" s="3" t="s">
        <v>90</v>
      </c>
      <c r="B53" s="3">
        <v>4.0</v>
      </c>
      <c r="C53" s="3" t="s">
        <v>49</v>
      </c>
      <c r="D53" s="3" t="s">
        <v>54</v>
      </c>
      <c r="E53" s="3" t="s">
        <v>54</v>
      </c>
      <c r="F53" s="3" t="s">
        <v>53</v>
      </c>
      <c r="G53" s="3" t="str">
        <f t="shared" si="1"/>
        <v>0</v>
      </c>
      <c r="H53" s="3" t="s">
        <v>53</v>
      </c>
      <c r="I53" s="3" t="str">
        <f t="shared" si="2"/>
        <v>0</v>
      </c>
      <c r="J53" s="3" t="s">
        <v>49</v>
      </c>
      <c r="K53" s="3" t="str">
        <f t="shared" si="3"/>
        <v>0</v>
      </c>
      <c r="L53" s="3" t="s">
        <v>49</v>
      </c>
      <c r="M53" s="3" t="str">
        <f t="shared" si="4"/>
        <v>0</v>
      </c>
      <c r="N53" s="3" t="s">
        <v>47</v>
      </c>
      <c r="O53" s="3" t="str">
        <f t="shared" si="5"/>
        <v>0</v>
      </c>
      <c r="P53" s="3" t="s">
        <v>49</v>
      </c>
      <c r="Q53" s="4" t="str">
        <f t="shared" si="6"/>
        <v>0</v>
      </c>
      <c r="R53" s="3" t="s">
        <v>53</v>
      </c>
      <c r="S53" s="4" t="str">
        <f t="shared" si="7"/>
        <v>0</v>
      </c>
      <c r="T53" s="3" t="s">
        <v>49</v>
      </c>
      <c r="U53" s="4" t="str">
        <f t="shared" si="8"/>
        <v>0</v>
      </c>
    </row>
    <row r="54">
      <c r="A54" s="3" t="s">
        <v>90</v>
      </c>
      <c r="B54" s="3">
        <v>5.0</v>
      </c>
      <c r="C54" s="3" t="s">
        <v>55</v>
      </c>
      <c r="D54" s="3" t="s">
        <v>59</v>
      </c>
      <c r="E54" s="3" t="s">
        <v>59</v>
      </c>
      <c r="F54" s="3" t="s">
        <v>55</v>
      </c>
      <c r="G54" s="3" t="str">
        <f t="shared" si="1"/>
        <v>0</v>
      </c>
      <c r="H54" s="3" t="s">
        <v>59</v>
      </c>
      <c r="I54" s="3" t="str">
        <f t="shared" si="2"/>
        <v>1</v>
      </c>
      <c r="J54" s="3" t="s">
        <v>63</v>
      </c>
      <c r="K54" s="3" t="str">
        <f t="shared" si="3"/>
        <v>0</v>
      </c>
      <c r="L54" s="3" t="s">
        <v>63</v>
      </c>
      <c r="M54" s="3" t="str">
        <f t="shared" si="4"/>
        <v>0</v>
      </c>
      <c r="N54" s="3" t="s">
        <v>58</v>
      </c>
      <c r="O54" s="3" t="str">
        <f t="shared" si="5"/>
        <v>0</v>
      </c>
      <c r="P54" s="3" t="s">
        <v>58</v>
      </c>
      <c r="Q54" s="4" t="str">
        <f t="shared" si="6"/>
        <v>0</v>
      </c>
      <c r="R54" s="3" t="s">
        <v>55</v>
      </c>
      <c r="S54" s="4" t="str">
        <f t="shared" si="7"/>
        <v>0</v>
      </c>
      <c r="T54" s="3" t="s">
        <v>55</v>
      </c>
      <c r="U54" s="4" t="str">
        <f t="shared" si="8"/>
        <v>0</v>
      </c>
    </row>
    <row r="55">
      <c r="A55" s="3" t="s">
        <v>90</v>
      </c>
      <c r="B55" s="3">
        <v>6.0</v>
      </c>
      <c r="C55" s="3" t="s">
        <v>65</v>
      </c>
      <c r="D55" s="3" t="s">
        <v>70</v>
      </c>
      <c r="E55" s="3" t="s">
        <v>70</v>
      </c>
      <c r="F55" s="3" t="s">
        <v>66</v>
      </c>
      <c r="G55" s="3" t="str">
        <f t="shared" si="1"/>
        <v>0</v>
      </c>
      <c r="H55" s="3" t="s">
        <v>72</v>
      </c>
      <c r="I55" s="3" t="str">
        <f t="shared" si="2"/>
        <v>0</v>
      </c>
      <c r="J55" s="3" t="s">
        <v>65</v>
      </c>
      <c r="K55" s="3" t="str">
        <f t="shared" si="3"/>
        <v>0</v>
      </c>
      <c r="L55" s="3" t="s">
        <v>68</v>
      </c>
      <c r="M55" s="3" t="str">
        <f t="shared" si="4"/>
        <v>0</v>
      </c>
      <c r="N55" s="3" t="s">
        <v>66</v>
      </c>
      <c r="O55" s="3" t="str">
        <f t="shared" si="5"/>
        <v>0</v>
      </c>
      <c r="P55" s="3" t="s">
        <v>65</v>
      </c>
      <c r="Q55" s="4" t="str">
        <f t="shared" si="6"/>
        <v>0</v>
      </c>
      <c r="R55" s="3" t="s">
        <v>66</v>
      </c>
      <c r="S55" s="4" t="str">
        <f t="shared" si="7"/>
        <v>0</v>
      </c>
      <c r="T55" s="3" t="s">
        <v>72</v>
      </c>
      <c r="U55" s="4" t="str">
        <f t="shared" si="8"/>
        <v>0</v>
      </c>
    </row>
    <row r="56">
      <c r="A56" s="3" t="s">
        <v>90</v>
      </c>
      <c r="B56" s="3">
        <v>7.0</v>
      </c>
      <c r="C56" s="3" t="s">
        <v>73</v>
      </c>
      <c r="D56" s="3" t="s">
        <v>79</v>
      </c>
      <c r="E56" s="3" t="s">
        <v>73</v>
      </c>
      <c r="F56" s="3" t="s">
        <v>73</v>
      </c>
      <c r="G56" s="3" t="str">
        <f t="shared" si="1"/>
        <v>1</v>
      </c>
      <c r="H56" s="3" t="s">
        <v>73</v>
      </c>
      <c r="I56" s="3" t="str">
        <f t="shared" si="2"/>
        <v>1</v>
      </c>
      <c r="J56" s="3" t="s">
        <v>73</v>
      </c>
      <c r="K56" s="3" t="str">
        <f t="shared" si="3"/>
        <v>1</v>
      </c>
      <c r="L56" s="3" t="s">
        <v>73</v>
      </c>
      <c r="M56" s="3" t="str">
        <f t="shared" si="4"/>
        <v>1</v>
      </c>
      <c r="N56" s="3" t="s">
        <v>73</v>
      </c>
      <c r="O56" s="3" t="str">
        <f t="shared" si="5"/>
        <v>1</v>
      </c>
      <c r="P56" s="3" t="s">
        <v>73</v>
      </c>
      <c r="Q56" s="4" t="str">
        <f t="shared" si="6"/>
        <v>1</v>
      </c>
      <c r="R56" s="3" t="s">
        <v>73</v>
      </c>
      <c r="S56" s="4" t="str">
        <f t="shared" si="7"/>
        <v>1</v>
      </c>
      <c r="T56" s="3" t="s">
        <v>73</v>
      </c>
      <c r="U56" s="4" t="str">
        <f t="shared" si="8"/>
        <v>1</v>
      </c>
    </row>
    <row r="57">
      <c r="A57" s="3" t="s">
        <v>90</v>
      </c>
      <c r="B57" s="3">
        <v>8.0</v>
      </c>
      <c r="C57" s="3" t="s">
        <v>82</v>
      </c>
      <c r="D57" s="3" t="s">
        <v>86</v>
      </c>
      <c r="E57" s="3" t="s">
        <v>86</v>
      </c>
      <c r="F57" s="3" t="s">
        <v>87</v>
      </c>
      <c r="G57" s="3" t="str">
        <f t="shared" si="1"/>
        <v>0</v>
      </c>
      <c r="H57" s="3" t="s">
        <v>87</v>
      </c>
      <c r="I57" s="3" t="str">
        <f t="shared" si="2"/>
        <v>0</v>
      </c>
      <c r="J57" s="3" t="s">
        <v>83</v>
      </c>
      <c r="K57" s="3" t="str">
        <f t="shared" si="3"/>
        <v>0</v>
      </c>
      <c r="L57" s="3" t="s">
        <v>83</v>
      </c>
      <c r="M57" s="3" t="str">
        <f t="shared" si="4"/>
        <v>0</v>
      </c>
      <c r="N57" s="3" t="s">
        <v>82</v>
      </c>
      <c r="O57" s="3" t="str">
        <f t="shared" si="5"/>
        <v>0</v>
      </c>
      <c r="P57" s="3" t="s">
        <v>82</v>
      </c>
      <c r="Q57" s="4" t="str">
        <f t="shared" si="6"/>
        <v>0</v>
      </c>
      <c r="R57" s="3" t="s">
        <v>87</v>
      </c>
      <c r="S57" s="4" t="str">
        <f t="shared" si="7"/>
        <v>0</v>
      </c>
      <c r="T57" s="3" t="s">
        <v>87</v>
      </c>
      <c r="U57" s="4" t="str">
        <f t="shared" si="8"/>
        <v>0</v>
      </c>
    </row>
    <row r="58">
      <c r="A58" s="3" t="s">
        <v>91</v>
      </c>
      <c r="B58" s="3">
        <v>1.0</v>
      </c>
      <c r="C58" s="3" t="s">
        <v>28</v>
      </c>
      <c r="D58" s="3" t="s">
        <v>36</v>
      </c>
      <c r="E58" s="3" t="s">
        <v>36</v>
      </c>
      <c r="F58" s="3" t="s">
        <v>22</v>
      </c>
      <c r="G58" s="3" t="str">
        <f t="shared" si="1"/>
        <v>0</v>
      </c>
      <c r="H58" s="3" t="s">
        <v>22</v>
      </c>
      <c r="I58" s="3" t="str">
        <f t="shared" si="2"/>
        <v>0</v>
      </c>
      <c r="J58" s="3" t="s">
        <v>30</v>
      </c>
      <c r="K58" s="3" t="str">
        <f t="shared" si="3"/>
        <v>0</v>
      </c>
      <c r="L58" s="3" t="s">
        <v>34</v>
      </c>
      <c r="M58" s="3" t="str">
        <f t="shared" si="4"/>
        <v>0</v>
      </c>
      <c r="N58" s="3" t="s">
        <v>30</v>
      </c>
      <c r="O58" s="3" t="str">
        <f t="shared" si="5"/>
        <v>0</v>
      </c>
      <c r="P58" s="3" t="s">
        <v>30</v>
      </c>
      <c r="Q58" s="4" t="str">
        <f t="shared" si="6"/>
        <v>0</v>
      </c>
      <c r="R58" s="3" t="s">
        <v>22</v>
      </c>
      <c r="S58" s="4" t="str">
        <f t="shared" si="7"/>
        <v>0</v>
      </c>
      <c r="T58" s="3" t="s">
        <v>32</v>
      </c>
      <c r="U58" s="4" t="str">
        <f t="shared" si="8"/>
        <v>0</v>
      </c>
    </row>
    <row r="59">
      <c r="A59" s="3" t="s">
        <v>91</v>
      </c>
      <c r="B59" s="3">
        <v>2.0</v>
      </c>
      <c r="C59" s="3" t="s">
        <v>40</v>
      </c>
      <c r="D59" s="3" t="s">
        <v>54</v>
      </c>
      <c r="E59" s="3" t="s">
        <v>40</v>
      </c>
      <c r="F59" s="3" t="s">
        <v>38</v>
      </c>
      <c r="G59" s="3" t="str">
        <f t="shared" si="1"/>
        <v>0</v>
      </c>
      <c r="H59" s="3" t="s">
        <v>53</v>
      </c>
      <c r="I59" s="3" t="str">
        <f t="shared" si="2"/>
        <v>0</v>
      </c>
      <c r="J59" s="3" t="s">
        <v>41</v>
      </c>
      <c r="K59" s="3" t="str">
        <f t="shared" si="3"/>
        <v>0</v>
      </c>
      <c r="L59" s="3" t="s">
        <v>38</v>
      </c>
      <c r="M59" s="3" t="str">
        <f t="shared" si="4"/>
        <v>0</v>
      </c>
      <c r="N59" s="3" t="s">
        <v>38</v>
      </c>
      <c r="O59" s="3" t="str">
        <f t="shared" si="5"/>
        <v>0</v>
      </c>
      <c r="P59" s="3" t="s">
        <v>38</v>
      </c>
      <c r="Q59" s="4" t="str">
        <f t="shared" si="6"/>
        <v>0</v>
      </c>
      <c r="R59" s="3" t="s">
        <v>38</v>
      </c>
      <c r="S59" s="4" t="str">
        <f t="shared" si="7"/>
        <v>0</v>
      </c>
      <c r="T59" s="3" t="s">
        <v>38</v>
      </c>
      <c r="U59" s="4" t="str">
        <f t="shared" si="8"/>
        <v>0</v>
      </c>
    </row>
    <row r="60">
      <c r="A60" s="3" t="s">
        <v>91</v>
      </c>
      <c r="B60" s="3">
        <v>3.0</v>
      </c>
      <c r="C60" s="3" t="s">
        <v>59</v>
      </c>
      <c r="D60" s="3" t="s">
        <v>70</v>
      </c>
      <c r="E60" s="3" t="s">
        <v>70</v>
      </c>
      <c r="F60" s="3" t="s">
        <v>55</v>
      </c>
      <c r="G60" s="3" t="str">
        <f t="shared" si="1"/>
        <v>0</v>
      </c>
      <c r="H60" s="3" t="s">
        <v>59</v>
      </c>
      <c r="I60" s="3" t="str">
        <f t="shared" si="2"/>
        <v>0</v>
      </c>
      <c r="J60" s="3" t="s">
        <v>65</v>
      </c>
      <c r="K60" s="3" t="str">
        <f t="shared" si="3"/>
        <v>0</v>
      </c>
      <c r="L60" s="3" t="s">
        <v>63</v>
      </c>
      <c r="M60" s="3" t="str">
        <f t="shared" si="4"/>
        <v>0</v>
      </c>
      <c r="N60" s="3" t="s">
        <v>66</v>
      </c>
      <c r="O60" s="3" t="str">
        <f t="shared" si="5"/>
        <v>0</v>
      </c>
      <c r="P60" s="3" t="s">
        <v>58</v>
      </c>
      <c r="Q60" s="4" t="str">
        <f t="shared" si="6"/>
        <v>0</v>
      </c>
      <c r="R60" s="3" t="s">
        <v>55</v>
      </c>
      <c r="S60" s="4" t="str">
        <f t="shared" si="7"/>
        <v>0</v>
      </c>
      <c r="T60" s="3" t="s">
        <v>72</v>
      </c>
      <c r="U60" s="4" t="str">
        <f t="shared" si="8"/>
        <v>0</v>
      </c>
    </row>
    <row r="61">
      <c r="A61" s="3" t="s">
        <v>91</v>
      </c>
      <c r="B61" s="3">
        <v>4.0</v>
      </c>
      <c r="C61" s="3" t="s">
        <v>73</v>
      </c>
      <c r="D61" s="3" t="s">
        <v>86</v>
      </c>
      <c r="E61" s="3" t="s">
        <v>73</v>
      </c>
      <c r="F61" s="3" t="s">
        <v>73</v>
      </c>
      <c r="G61" s="3" t="str">
        <f t="shared" si="1"/>
        <v>1</v>
      </c>
      <c r="H61" s="3" t="s">
        <v>73</v>
      </c>
      <c r="I61" s="3" t="str">
        <f t="shared" si="2"/>
        <v>1</v>
      </c>
      <c r="J61" s="3" t="s">
        <v>73</v>
      </c>
      <c r="K61" s="3" t="str">
        <f t="shared" si="3"/>
        <v>1</v>
      </c>
      <c r="L61" s="3" t="s">
        <v>83</v>
      </c>
      <c r="M61" s="3" t="str">
        <f t="shared" si="4"/>
        <v>0</v>
      </c>
      <c r="N61" s="3" t="s">
        <v>73</v>
      </c>
      <c r="O61" s="3" t="str">
        <f t="shared" si="5"/>
        <v>1</v>
      </c>
      <c r="P61" s="3" t="s">
        <v>82</v>
      </c>
      <c r="Q61" s="4" t="str">
        <f t="shared" si="6"/>
        <v>0</v>
      </c>
      <c r="R61" s="3" t="s">
        <v>73</v>
      </c>
      <c r="S61" s="4" t="str">
        <f t="shared" si="7"/>
        <v>1</v>
      </c>
      <c r="T61" s="3" t="s">
        <v>87</v>
      </c>
      <c r="U61" s="4" t="str">
        <f t="shared" si="8"/>
        <v>0</v>
      </c>
    </row>
    <row r="62">
      <c r="A62" s="3" t="s">
        <v>92</v>
      </c>
      <c r="B62" s="3">
        <v>1.0</v>
      </c>
      <c r="C62" s="3" t="s">
        <v>36</v>
      </c>
      <c r="D62" s="3" t="s">
        <v>40</v>
      </c>
      <c r="E62" s="3" t="s">
        <v>40</v>
      </c>
      <c r="F62" s="3" t="s">
        <v>22</v>
      </c>
      <c r="G62" s="3" t="str">
        <f t="shared" si="1"/>
        <v>0</v>
      </c>
      <c r="H62" s="3" t="s">
        <v>53</v>
      </c>
      <c r="I62" s="3" t="str">
        <f t="shared" si="2"/>
        <v>0</v>
      </c>
      <c r="J62" s="3" t="s">
        <v>30</v>
      </c>
      <c r="K62" s="3" t="str">
        <f t="shared" si="3"/>
        <v>0</v>
      </c>
      <c r="L62" s="3" t="s">
        <v>34</v>
      </c>
      <c r="M62" s="3" t="str">
        <f t="shared" si="4"/>
        <v>0</v>
      </c>
      <c r="N62" s="3" t="s">
        <v>30</v>
      </c>
      <c r="O62" s="3" t="str">
        <f t="shared" si="5"/>
        <v>0</v>
      </c>
      <c r="P62" s="3" t="s">
        <v>30</v>
      </c>
      <c r="Q62" s="4" t="str">
        <f t="shared" si="6"/>
        <v>0</v>
      </c>
      <c r="R62" s="3" t="s">
        <v>38</v>
      </c>
      <c r="S62" s="4" t="str">
        <f t="shared" si="7"/>
        <v>0</v>
      </c>
      <c r="T62" s="3" t="s">
        <v>38</v>
      </c>
      <c r="U62" s="4" t="str">
        <f t="shared" si="8"/>
        <v>0</v>
      </c>
    </row>
    <row r="63">
      <c r="A63" s="3" t="s">
        <v>92</v>
      </c>
      <c r="B63" s="3">
        <v>2.0</v>
      </c>
      <c r="C63" s="3" t="s">
        <v>70</v>
      </c>
      <c r="D63" s="3" t="s">
        <v>73</v>
      </c>
      <c r="E63" s="3" t="s">
        <v>73</v>
      </c>
      <c r="F63" s="3" t="s">
        <v>55</v>
      </c>
      <c r="G63" s="3" t="str">
        <f t="shared" si="1"/>
        <v>0</v>
      </c>
      <c r="H63" s="3" t="s">
        <v>73</v>
      </c>
      <c r="I63" s="3" t="str">
        <f t="shared" si="2"/>
        <v>1</v>
      </c>
      <c r="J63" s="3" t="s">
        <v>73</v>
      </c>
      <c r="K63" s="3" t="str">
        <f t="shared" si="3"/>
        <v>1</v>
      </c>
      <c r="L63" s="3" t="s">
        <v>63</v>
      </c>
      <c r="M63" s="3" t="str">
        <f t="shared" si="4"/>
        <v>0</v>
      </c>
      <c r="N63" s="3" t="s">
        <v>66</v>
      </c>
      <c r="O63" s="3" t="str">
        <f t="shared" si="5"/>
        <v>0</v>
      </c>
      <c r="P63" s="3" t="s">
        <v>82</v>
      </c>
      <c r="Q63" s="4" t="str">
        <f t="shared" si="6"/>
        <v>0</v>
      </c>
      <c r="R63" s="3" t="s">
        <v>73</v>
      </c>
      <c r="S63" s="4" t="str">
        <f t="shared" si="7"/>
        <v>1</v>
      </c>
      <c r="T63" s="3" t="s">
        <v>72</v>
      </c>
      <c r="U63" s="4" t="str">
        <f t="shared" si="8"/>
        <v>0</v>
      </c>
    </row>
    <row r="64">
      <c r="A64" s="3" t="s">
        <v>93</v>
      </c>
      <c r="B64" s="3">
        <v>1.0</v>
      </c>
      <c r="C64" s="3" t="s">
        <v>40</v>
      </c>
      <c r="D64" s="3" t="s">
        <v>73</v>
      </c>
      <c r="E64" s="3" t="s">
        <v>73</v>
      </c>
      <c r="F64" s="3" t="s">
        <v>22</v>
      </c>
      <c r="G64" s="3" t="str">
        <f t="shared" si="1"/>
        <v>0</v>
      </c>
      <c r="H64" s="3" t="s">
        <v>73</v>
      </c>
      <c r="I64" s="3" t="str">
        <f t="shared" si="2"/>
        <v>1</v>
      </c>
      <c r="J64" s="3" t="s">
        <v>30</v>
      </c>
      <c r="K64" s="3" t="str">
        <f t="shared" si="3"/>
        <v>0</v>
      </c>
      <c r="L64" s="3" t="s">
        <v>63</v>
      </c>
      <c r="M64" s="3" t="str">
        <f t="shared" si="4"/>
        <v>0</v>
      </c>
      <c r="N64" s="3" t="s">
        <v>30</v>
      </c>
      <c r="O64" s="3" t="str">
        <f t="shared" si="5"/>
        <v>0</v>
      </c>
      <c r="P64" s="3" t="s">
        <v>82</v>
      </c>
      <c r="Q64" s="4" t="str">
        <f t="shared" si="6"/>
        <v>0</v>
      </c>
      <c r="R64" s="3" t="s">
        <v>73</v>
      </c>
      <c r="S64" s="4" t="str">
        <f t="shared" si="7"/>
        <v>1</v>
      </c>
      <c r="T64" s="3" t="s">
        <v>72</v>
      </c>
      <c r="U64" s="4" t="str">
        <f t="shared" si="8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hidden="1" min="1" max="2" width="12.63"/>
    <col customWidth="1" min="3" max="4" width="14.63"/>
    <col customWidth="1" min="5" max="5" width="13.13"/>
    <col customWidth="1" min="6" max="6" width="13.38"/>
    <col customWidth="1" min="7" max="7" width="5.0"/>
    <col customWidth="1" min="8" max="8" width="15.75"/>
    <col customWidth="1" min="9" max="9" width="6.13"/>
    <col customWidth="1" min="10" max="10" width="15.75"/>
    <col customWidth="1" min="11" max="11" width="6.25"/>
    <col customWidth="1" min="12" max="12" width="18.38"/>
    <col customWidth="1" min="13" max="13" width="7.38"/>
    <col customWidth="1" min="14" max="14" width="13.13"/>
    <col customWidth="1" min="15" max="15" width="4.88"/>
    <col customWidth="1" min="16" max="16" width="15.0"/>
    <col customWidth="1" min="17" max="17" width="6.0"/>
    <col customWidth="1" min="18" max="18" width="13.13"/>
    <col customWidth="1" min="19" max="19" width="4.13"/>
    <col customWidth="1" min="20" max="20" width="13.13"/>
    <col customWidth="1" min="21" max="21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>
        <v>1.0</v>
      </c>
      <c r="C2" s="3" t="s">
        <v>30</v>
      </c>
      <c r="D2" s="3" t="s">
        <v>94</v>
      </c>
      <c r="E2" s="3" t="s">
        <v>30</v>
      </c>
      <c r="F2" s="3" t="s">
        <v>30</v>
      </c>
      <c r="G2" s="4" t="str">
        <f t="shared" ref="G2:G64" si="1">if(E2=F2, "1", "0")</f>
        <v>1</v>
      </c>
      <c r="H2" s="3" t="s">
        <v>30</v>
      </c>
      <c r="I2" s="4" t="str">
        <f t="shared" ref="I2:I64" si="2">if(E2=H2, "1", "0")</f>
        <v>1</v>
      </c>
      <c r="J2" s="3" t="s">
        <v>30</v>
      </c>
      <c r="K2" s="4" t="str">
        <f t="shared" ref="K2:K64" si="3">if(E2=J2, "1", "0")</f>
        <v>1</v>
      </c>
      <c r="L2" s="3" t="s">
        <v>30</v>
      </c>
      <c r="M2" s="4" t="str">
        <f t="shared" ref="M2:M64" si="4">if(E2=L2, "1", "0")</f>
        <v>1</v>
      </c>
      <c r="N2" s="3" t="s">
        <v>30</v>
      </c>
      <c r="O2" s="4" t="str">
        <f t="shared" ref="O2:O64" si="5">if(E2=N2, "1", "0")</f>
        <v>1</v>
      </c>
      <c r="P2" s="3" t="s">
        <v>30</v>
      </c>
      <c r="Q2" s="4" t="str">
        <f t="shared" ref="Q2:Q64" si="6">if(E2=P2, "1", "0")</f>
        <v>1</v>
      </c>
      <c r="R2" s="3" t="s">
        <v>30</v>
      </c>
      <c r="S2" s="4" t="str">
        <f t="shared" ref="S2:S64" si="7">IF(R2=E2,"1","0")</f>
        <v>1</v>
      </c>
      <c r="T2" s="3" t="s">
        <v>30</v>
      </c>
      <c r="U2" s="4" t="str">
        <f t="shared" ref="U2:U64" si="8">IF(T2=E2,"1","0")</f>
        <v>1</v>
      </c>
    </row>
    <row r="3">
      <c r="A3" s="3" t="s">
        <v>21</v>
      </c>
      <c r="B3" s="3">
        <v>2.0</v>
      </c>
      <c r="C3" s="3" t="s">
        <v>95</v>
      </c>
      <c r="D3" s="3" t="s">
        <v>96</v>
      </c>
      <c r="E3" s="3" t="s">
        <v>95</v>
      </c>
      <c r="F3" s="3" t="s">
        <v>96</v>
      </c>
      <c r="G3" s="4" t="str">
        <f t="shared" si="1"/>
        <v>0</v>
      </c>
      <c r="H3" s="3" t="s">
        <v>96</v>
      </c>
      <c r="I3" s="4" t="str">
        <f t="shared" si="2"/>
        <v>0</v>
      </c>
      <c r="J3" s="3" t="s">
        <v>96</v>
      </c>
      <c r="K3" s="4" t="str">
        <f t="shared" si="3"/>
        <v>0</v>
      </c>
      <c r="L3" s="3" t="s">
        <v>96</v>
      </c>
      <c r="M3" s="4" t="str">
        <f t="shared" si="4"/>
        <v>0</v>
      </c>
      <c r="N3" s="3" t="s">
        <v>96</v>
      </c>
      <c r="O3" s="4" t="str">
        <f t="shared" si="5"/>
        <v>0</v>
      </c>
      <c r="P3" s="3" t="s">
        <v>96</v>
      </c>
      <c r="Q3" s="4" t="str">
        <f t="shared" si="6"/>
        <v>0</v>
      </c>
      <c r="R3" s="3" t="s">
        <v>96</v>
      </c>
      <c r="S3" s="4" t="str">
        <f t="shared" si="7"/>
        <v>0</v>
      </c>
      <c r="T3" s="3" t="s">
        <v>95</v>
      </c>
      <c r="U3" s="4" t="str">
        <f t="shared" si="8"/>
        <v>1</v>
      </c>
    </row>
    <row r="4">
      <c r="A4" s="3" t="s">
        <v>21</v>
      </c>
      <c r="B4" s="3">
        <v>3.0</v>
      </c>
      <c r="C4" s="3" t="s">
        <v>75</v>
      </c>
      <c r="D4" s="3" t="s">
        <v>97</v>
      </c>
      <c r="E4" s="3" t="s">
        <v>75</v>
      </c>
      <c r="F4" s="3" t="s">
        <v>75</v>
      </c>
      <c r="G4" s="4" t="str">
        <f t="shared" si="1"/>
        <v>1</v>
      </c>
      <c r="H4" s="3" t="s">
        <v>75</v>
      </c>
      <c r="I4" s="4" t="str">
        <f t="shared" si="2"/>
        <v>1</v>
      </c>
      <c r="J4" s="3" t="s">
        <v>75</v>
      </c>
      <c r="K4" s="4" t="str">
        <f t="shared" si="3"/>
        <v>1</v>
      </c>
      <c r="L4" s="3" t="s">
        <v>75</v>
      </c>
      <c r="M4" s="4" t="str">
        <f t="shared" si="4"/>
        <v>1</v>
      </c>
      <c r="N4" s="3" t="s">
        <v>75</v>
      </c>
      <c r="O4" s="4" t="str">
        <f t="shared" si="5"/>
        <v>1</v>
      </c>
      <c r="P4" s="3" t="s">
        <v>75</v>
      </c>
      <c r="Q4" s="4" t="str">
        <f t="shared" si="6"/>
        <v>1</v>
      </c>
      <c r="R4" s="3" t="s">
        <v>75</v>
      </c>
      <c r="S4" s="4" t="str">
        <f t="shared" si="7"/>
        <v>1</v>
      </c>
      <c r="T4" s="3" t="s">
        <v>75</v>
      </c>
      <c r="U4" s="4" t="str">
        <f t="shared" si="8"/>
        <v>1</v>
      </c>
    </row>
    <row r="5">
      <c r="A5" s="3" t="s">
        <v>21</v>
      </c>
      <c r="B5" s="3">
        <v>4.0</v>
      </c>
      <c r="C5" s="3" t="s">
        <v>98</v>
      </c>
      <c r="D5" s="3" t="s">
        <v>99</v>
      </c>
      <c r="E5" s="3" t="s">
        <v>99</v>
      </c>
      <c r="F5" s="3" t="s">
        <v>98</v>
      </c>
      <c r="G5" s="4" t="str">
        <f t="shared" si="1"/>
        <v>0</v>
      </c>
      <c r="H5" s="3" t="s">
        <v>98</v>
      </c>
      <c r="I5" s="4" t="str">
        <f t="shared" si="2"/>
        <v>0</v>
      </c>
      <c r="J5" s="3" t="s">
        <v>98</v>
      </c>
      <c r="K5" s="4" t="str">
        <f t="shared" si="3"/>
        <v>0</v>
      </c>
      <c r="L5" s="3" t="s">
        <v>98</v>
      </c>
      <c r="M5" s="4" t="str">
        <f t="shared" si="4"/>
        <v>0</v>
      </c>
      <c r="N5" s="3" t="s">
        <v>98</v>
      </c>
      <c r="O5" s="4" t="str">
        <f t="shared" si="5"/>
        <v>0</v>
      </c>
      <c r="P5" s="3" t="s">
        <v>98</v>
      </c>
      <c r="Q5" s="4" t="str">
        <f t="shared" si="6"/>
        <v>0</v>
      </c>
      <c r="R5" s="3" t="s">
        <v>98</v>
      </c>
      <c r="S5" s="4" t="str">
        <f t="shared" si="7"/>
        <v>0</v>
      </c>
      <c r="T5" s="3" t="s">
        <v>98</v>
      </c>
      <c r="U5" s="4" t="str">
        <f t="shared" si="8"/>
        <v>0</v>
      </c>
    </row>
    <row r="6">
      <c r="A6" s="3" t="s">
        <v>21</v>
      </c>
      <c r="B6" s="3">
        <v>5.0</v>
      </c>
      <c r="C6" s="3" t="s">
        <v>76</v>
      </c>
      <c r="D6" s="3" t="s">
        <v>100</v>
      </c>
      <c r="E6" s="3" t="s">
        <v>76</v>
      </c>
      <c r="F6" s="3" t="s">
        <v>76</v>
      </c>
      <c r="G6" s="4" t="str">
        <f t="shared" si="1"/>
        <v>1</v>
      </c>
      <c r="H6" s="3" t="s">
        <v>76</v>
      </c>
      <c r="I6" s="4" t="str">
        <f t="shared" si="2"/>
        <v>1</v>
      </c>
      <c r="J6" s="3" t="s">
        <v>76</v>
      </c>
      <c r="K6" s="4" t="str">
        <f t="shared" si="3"/>
        <v>1</v>
      </c>
      <c r="L6" s="3" t="s">
        <v>76</v>
      </c>
      <c r="M6" s="4" t="str">
        <f t="shared" si="4"/>
        <v>1</v>
      </c>
      <c r="N6" s="3" t="s">
        <v>76</v>
      </c>
      <c r="O6" s="4" t="str">
        <f t="shared" si="5"/>
        <v>1</v>
      </c>
      <c r="P6" s="3" t="s">
        <v>76</v>
      </c>
      <c r="Q6" s="4" t="str">
        <f t="shared" si="6"/>
        <v>1</v>
      </c>
      <c r="R6" s="3" t="s">
        <v>76</v>
      </c>
      <c r="S6" s="4" t="str">
        <f t="shared" si="7"/>
        <v>1</v>
      </c>
      <c r="T6" s="3" t="s">
        <v>76</v>
      </c>
      <c r="U6" s="4" t="str">
        <f t="shared" si="8"/>
        <v>1</v>
      </c>
    </row>
    <row r="7">
      <c r="A7" s="3" t="s">
        <v>21</v>
      </c>
      <c r="B7" s="3">
        <v>6.0</v>
      </c>
      <c r="C7" s="3" t="s">
        <v>38</v>
      </c>
      <c r="D7" s="3" t="s">
        <v>101</v>
      </c>
      <c r="E7" s="3" t="s">
        <v>38</v>
      </c>
      <c r="F7" s="3" t="s">
        <v>38</v>
      </c>
      <c r="G7" s="4" t="str">
        <f t="shared" si="1"/>
        <v>1</v>
      </c>
      <c r="H7" s="3" t="s">
        <v>38</v>
      </c>
      <c r="I7" s="4" t="str">
        <f t="shared" si="2"/>
        <v>1</v>
      </c>
      <c r="J7" s="3" t="s">
        <v>38</v>
      </c>
      <c r="K7" s="4" t="str">
        <f t="shared" si="3"/>
        <v>1</v>
      </c>
      <c r="L7" s="3" t="s">
        <v>38</v>
      </c>
      <c r="M7" s="4" t="str">
        <f t="shared" si="4"/>
        <v>1</v>
      </c>
      <c r="N7" s="3" t="s">
        <v>38</v>
      </c>
      <c r="O7" s="4" t="str">
        <f t="shared" si="5"/>
        <v>1</v>
      </c>
      <c r="P7" s="3" t="s">
        <v>38</v>
      </c>
      <c r="Q7" s="4" t="str">
        <f t="shared" si="6"/>
        <v>1</v>
      </c>
      <c r="R7" s="3" t="s">
        <v>38</v>
      </c>
      <c r="S7" s="4" t="str">
        <f t="shared" si="7"/>
        <v>1</v>
      </c>
      <c r="T7" s="3" t="s">
        <v>38</v>
      </c>
      <c r="U7" s="4" t="str">
        <f t="shared" si="8"/>
        <v>1</v>
      </c>
    </row>
    <row r="8">
      <c r="A8" s="3" t="s">
        <v>21</v>
      </c>
      <c r="B8" s="3">
        <v>7.0</v>
      </c>
      <c r="C8" s="3" t="s">
        <v>102</v>
      </c>
      <c r="D8" s="3" t="s">
        <v>103</v>
      </c>
      <c r="E8" s="3" t="s">
        <v>102</v>
      </c>
      <c r="F8" s="3" t="s">
        <v>103</v>
      </c>
      <c r="G8" s="4" t="str">
        <f t="shared" si="1"/>
        <v>0</v>
      </c>
      <c r="H8" s="3" t="s">
        <v>103</v>
      </c>
      <c r="I8" s="4" t="str">
        <f t="shared" si="2"/>
        <v>0</v>
      </c>
      <c r="J8" s="3" t="s">
        <v>103</v>
      </c>
      <c r="K8" s="4" t="str">
        <f t="shared" si="3"/>
        <v>0</v>
      </c>
      <c r="L8" s="3" t="s">
        <v>103</v>
      </c>
      <c r="M8" s="4" t="str">
        <f t="shared" si="4"/>
        <v>0</v>
      </c>
      <c r="N8" s="3" t="s">
        <v>102</v>
      </c>
      <c r="O8" s="4" t="str">
        <f t="shared" si="5"/>
        <v>1</v>
      </c>
      <c r="P8" s="3" t="s">
        <v>102</v>
      </c>
      <c r="Q8" s="4" t="str">
        <f t="shared" si="6"/>
        <v>1</v>
      </c>
      <c r="R8" s="3" t="s">
        <v>103</v>
      </c>
      <c r="S8" s="4" t="str">
        <f t="shared" si="7"/>
        <v>0</v>
      </c>
      <c r="T8" s="3" t="s">
        <v>102</v>
      </c>
      <c r="U8" s="4" t="str">
        <f t="shared" si="8"/>
        <v>1</v>
      </c>
    </row>
    <row r="9">
      <c r="A9" s="3" t="s">
        <v>21</v>
      </c>
      <c r="B9" s="3">
        <v>8.0</v>
      </c>
      <c r="C9" s="3" t="s">
        <v>55</v>
      </c>
      <c r="D9" s="3" t="s">
        <v>104</v>
      </c>
      <c r="E9" s="3" t="s">
        <v>104</v>
      </c>
      <c r="F9" s="3" t="s">
        <v>55</v>
      </c>
      <c r="G9" s="4" t="str">
        <f t="shared" si="1"/>
        <v>0</v>
      </c>
      <c r="H9" s="3" t="s">
        <v>55</v>
      </c>
      <c r="I9" s="4" t="str">
        <f t="shared" si="2"/>
        <v>0</v>
      </c>
      <c r="J9" s="3" t="s">
        <v>55</v>
      </c>
      <c r="K9" s="4" t="str">
        <f t="shared" si="3"/>
        <v>0</v>
      </c>
      <c r="L9" s="3" t="s">
        <v>55</v>
      </c>
      <c r="M9" s="4" t="str">
        <f t="shared" si="4"/>
        <v>0</v>
      </c>
      <c r="N9" s="3" t="s">
        <v>55</v>
      </c>
      <c r="O9" s="4" t="str">
        <f t="shared" si="5"/>
        <v>0</v>
      </c>
      <c r="P9" s="3" t="s">
        <v>55</v>
      </c>
      <c r="Q9" s="4" t="str">
        <f t="shared" si="6"/>
        <v>0</v>
      </c>
      <c r="R9" s="3" t="s">
        <v>55</v>
      </c>
      <c r="S9" s="4" t="str">
        <f t="shared" si="7"/>
        <v>0</v>
      </c>
      <c r="T9" s="3" t="s">
        <v>55</v>
      </c>
      <c r="U9" s="4" t="str">
        <f t="shared" si="8"/>
        <v>0</v>
      </c>
    </row>
    <row r="10">
      <c r="A10" s="3" t="s">
        <v>21</v>
      </c>
      <c r="B10" s="3">
        <v>9.0</v>
      </c>
      <c r="C10" s="3" t="s">
        <v>49</v>
      </c>
      <c r="D10" s="3" t="s">
        <v>105</v>
      </c>
      <c r="E10" s="3" t="s">
        <v>105</v>
      </c>
      <c r="F10" s="3" t="s">
        <v>49</v>
      </c>
      <c r="G10" s="4" t="str">
        <f t="shared" si="1"/>
        <v>0</v>
      </c>
      <c r="H10" s="3" t="s">
        <v>49</v>
      </c>
      <c r="I10" s="4" t="str">
        <f t="shared" si="2"/>
        <v>0</v>
      </c>
      <c r="J10" s="3" t="s">
        <v>49</v>
      </c>
      <c r="K10" s="4" t="str">
        <f t="shared" si="3"/>
        <v>0</v>
      </c>
      <c r="L10" s="3" t="s">
        <v>49</v>
      </c>
      <c r="M10" s="4" t="str">
        <f t="shared" si="4"/>
        <v>0</v>
      </c>
      <c r="N10" s="3" t="s">
        <v>49</v>
      </c>
      <c r="O10" s="4" t="str">
        <f t="shared" si="5"/>
        <v>0</v>
      </c>
      <c r="P10" s="3" t="s">
        <v>49</v>
      </c>
      <c r="Q10" s="4" t="str">
        <f t="shared" si="6"/>
        <v>0</v>
      </c>
      <c r="R10" s="3" t="s">
        <v>49</v>
      </c>
      <c r="S10" s="4" t="str">
        <f t="shared" si="7"/>
        <v>0</v>
      </c>
      <c r="T10" s="3" t="s">
        <v>49</v>
      </c>
      <c r="U10" s="4" t="str">
        <f t="shared" si="8"/>
        <v>0</v>
      </c>
    </row>
    <row r="11">
      <c r="A11" s="3" t="s">
        <v>21</v>
      </c>
      <c r="B11" s="3">
        <v>10.0</v>
      </c>
      <c r="C11" s="3" t="s">
        <v>25</v>
      </c>
      <c r="D11" s="3" t="s">
        <v>106</v>
      </c>
      <c r="E11" s="3" t="s">
        <v>106</v>
      </c>
      <c r="F11" s="3" t="s">
        <v>106</v>
      </c>
      <c r="G11" s="4" t="str">
        <f t="shared" si="1"/>
        <v>1</v>
      </c>
      <c r="H11" s="3" t="s">
        <v>106</v>
      </c>
      <c r="I11" s="4" t="str">
        <f t="shared" si="2"/>
        <v>1</v>
      </c>
      <c r="J11" s="3" t="s">
        <v>25</v>
      </c>
      <c r="K11" s="4" t="str">
        <f t="shared" si="3"/>
        <v>0</v>
      </c>
      <c r="L11" s="3" t="s">
        <v>25</v>
      </c>
      <c r="M11" s="4" t="str">
        <f t="shared" si="4"/>
        <v>0</v>
      </c>
      <c r="N11" s="3" t="s">
        <v>25</v>
      </c>
      <c r="O11" s="4" t="str">
        <f t="shared" si="5"/>
        <v>0</v>
      </c>
      <c r="P11" s="3" t="s">
        <v>25</v>
      </c>
      <c r="Q11" s="4" t="str">
        <f t="shared" si="6"/>
        <v>0</v>
      </c>
      <c r="R11" s="3" t="s">
        <v>106</v>
      </c>
      <c r="S11" s="4" t="str">
        <f t="shared" si="7"/>
        <v>1</v>
      </c>
      <c r="T11" s="3" t="s">
        <v>25</v>
      </c>
      <c r="U11" s="4" t="str">
        <f t="shared" si="8"/>
        <v>0</v>
      </c>
    </row>
    <row r="12">
      <c r="A12" s="3" t="s">
        <v>21</v>
      </c>
      <c r="B12" s="3">
        <v>11.0</v>
      </c>
      <c r="C12" s="3" t="s">
        <v>36</v>
      </c>
      <c r="D12" s="3" t="s">
        <v>107</v>
      </c>
      <c r="E12" s="3" t="s">
        <v>36</v>
      </c>
      <c r="F12" s="3" t="s">
        <v>36</v>
      </c>
      <c r="G12" s="4" t="str">
        <f t="shared" si="1"/>
        <v>1</v>
      </c>
      <c r="H12" s="3" t="s">
        <v>36</v>
      </c>
      <c r="I12" s="4" t="str">
        <f t="shared" si="2"/>
        <v>1</v>
      </c>
      <c r="J12" s="3" t="s">
        <v>36</v>
      </c>
      <c r="K12" s="4" t="str">
        <f t="shared" si="3"/>
        <v>1</v>
      </c>
      <c r="L12" s="3" t="s">
        <v>36</v>
      </c>
      <c r="M12" s="4" t="str">
        <f t="shared" si="4"/>
        <v>1</v>
      </c>
      <c r="N12" s="3" t="s">
        <v>36</v>
      </c>
      <c r="O12" s="4" t="str">
        <f t="shared" si="5"/>
        <v>1</v>
      </c>
      <c r="P12" s="3" t="s">
        <v>36</v>
      </c>
      <c r="Q12" s="4" t="str">
        <f t="shared" si="6"/>
        <v>1</v>
      </c>
      <c r="R12" s="3" t="s">
        <v>36</v>
      </c>
      <c r="S12" s="4" t="str">
        <f t="shared" si="7"/>
        <v>1</v>
      </c>
      <c r="T12" s="3" t="s">
        <v>36</v>
      </c>
      <c r="U12" s="4" t="str">
        <f t="shared" si="8"/>
        <v>1</v>
      </c>
    </row>
    <row r="13">
      <c r="A13" s="3" t="s">
        <v>21</v>
      </c>
      <c r="B13" s="3">
        <v>12.0</v>
      </c>
      <c r="C13" s="3" t="s">
        <v>66</v>
      </c>
      <c r="D13" s="3" t="s">
        <v>108</v>
      </c>
      <c r="E13" s="3" t="s">
        <v>66</v>
      </c>
      <c r="F13" s="3" t="s">
        <v>66</v>
      </c>
      <c r="G13" s="4" t="str">
        <f t="shared" si="1"/>
        <v>1</v>
      </c>
      <c r="H13" s="3" t="s">
        <v>66</v>
      </c>
      <c r="I13" s="4" t="str">
        <f t="shared" si="2"/>
        <v>1</v>
      </c>
      <c r="J13" s="3" t="s">
        <v>66</v>
      </c>
      <c r="K13" s="4" t="str">
        <f t="shared" si="3"/>
        <v>1</v>
      </c>
      <c r="L13" s="3" t="s">
        <v>66</v>
      </c>
      <c r="M13" s="4" t="str">
        <f t="shared" si="4"/>
        <v>1</v>
      </c>
      <c r="N13" s="3" t="s">
        <v>66</v>
      </c>
      <c r="O13" s="4" t="str">
        <f t="shared" si="5"/>
        <v>1</v>
      </c>
      <c r="P13" s="3" t="s">
        <v>66</v>
      </c>
      <c r="Q13" s="4" t="str">
        <f t="shared" si="6"/>
        <v>1</v>
      </c>
      <c r="R13" s="3" t="s">
        <v>66</v>
      </c>
      <c r="S13" s="4" t="str">
        <f t="shared" si="7"/>
        <v>1</v>
      </c>
      <c r="T13" s="3" t="s">
        <v>66</v>
      </c>
      <c r="U13" s="4" t="str">
        <f t="shared" si="8"/>
        <v>1</v>
      </c>
    </row>
    <row r="14">
      <c r="A14" s="3" t="s">
        <v>21</v>
      </c>
      <c r="B14" s="3">
        <v>13.0</v>
      </c>
      <c r="C14" s="3" t="s">
        <v>53</v>
      </c>
      <c r="D14" s="3" t="s">
        <v>79</v>
      </c>
      <c r="E14" s="3" t="s">
        <v>53</v>
      </c>
      <c r="F14" s="3" t="s">
        <v>53</v>
      </c>
      <c r="G14" s="4" t="str">
        <f t="shared" si="1"/>
        <v>1</v>
      </c>
      <c r="H14" s="3" t="s">
        <v>53</v>
      </c>
      <c r="I14" s="4" t="str">
        <f t="shared" si="2"/>
        <v>1</v>
      </c>
      <c r="J14" s="3" t="s">
        <v>53</v>
      </c>
      <c r="K14" s="4" t="str">
        <f t="shared" si="3"/>
        <v>1</v>
      </c>
      <c r="L14" s="3" t="s">
        <v>53</v>
      </c>
      <c r="M14" s="4" t="str">
        <f t="shared" si="4"/>
        <v>1</v>
      </c>
      <c r="N14" s="3" t="s">
        <v>53</v>
      </c>
      <c r="O14" s="4" t="str">
        <f t="shared" si="5"/>
        <v>1</v>
      </c>
      <c r="P14" s="3" t="s">
        <v>53</v>
      </c>
      <c r="Q14" s="4" t="str">
        <f t="shared" si="6"/>
        <v>1</v>
      </c>
      <c r="R14" s="3" t="s">
        <v>53</v>
      </c>
      <c r="S14" s="4" t="str">
        <f t="shared" si="7"/>
        <v>1</v>
      </c>
      <c r="T14" s="3" t="s">
        <v>79</v>
      </c>
      <c r="U14" s="4" t="str">
        <f t="shared" si="8"/>
        <v>0</v>
      </c>
    </row>
    <row r="15">
      <c r="A15" s="3" t="s">
        <v>21</v>
      </c>
      <c r="B15" s="3">
        <v>14.0</v>
      </c>
      <c r="C15" s="3" t="s">
        <v>109</v>
      </c>
      <c r="D15" s="3" t="s">
        <v>33</v>
      </c>
      <c r="E15" s="3" t="s">
        <v>109</v>
      </c>
      <c r="F15" s="3" t="s">
        <v>109</v>
      </c>
      <c r="G15" s="4" t="str">
        <f t="shared" si="1"/>
        <v>1</v>
      </c>
      <c r="H15" s="3" t="s">
        <v>109</v>
      </c>
      <c r="I15" s="4" t="str">
        <f t="shared" si="2"/>
        <v>1</v>
      </c>
      <c r="J15" s="3" t="s">
        <v>109</v>
      </c>
      <c r="K15" s="4" t="str">
        <f t="shared" si="3"/>
        <v>1</v>
      </c>
      <c r="L15" s="3" t="s">
        <v>109</v>
      </c>
      <c r="M15" s="4" t="str">
        <f t="shared" si="4"/>
        <v>1</v>
      </c>
      <c r="N15" s="3" t="s">
        <v>109</v>
      </c>
      <c r="O15" s="4" t="str">
        <f t="shared" si="5"/>
        <v>1</v>
      </c>
      <c r="P15" s="3" t="s">
        <v>109</v>
      </c>
      <c r="Q15" s="4" t="str">
        <f t="shared" si="6"/>
        <v>1</v>
      </c>
      <c r="R15" s="3" t="s">
        <v>109</v>
      </c>
      <c r="S15" s="4" t="str">
        <f t="shared" si="7"/>
        <v>1</v>
      </c>
      <c r="T15" s="3" t="s">
        <v>109</v>
      </c>
      <c r="U15" s="4" t="str">
        <f t="shared" si="8"/>
        <v>1</v>
      </c>
    </row>
    <row r="16">
      <c r="A16" s="3" t="s">
        <v>21</v>
      </c>
      <c r="B16" s="3">
        <v>15.0</v>
      </c>
      <c r="C16" s="3" t="s">
        <v>34</v>
      </c>
      <c r="D16" s="3" t="s">
        <v>85</v>
      </c>
      <c r="E16" s="3" t="s">
        <v>34</v>
      </c>
      <c r="F16" s="3" t="s">
        <v>34</v>
      </c>
      <c r="G16" s="4" t="str">
        <f t="shared" si="1"/>
        <v>1</v>
      </c>
      <c r="H16" s="3" t="s">
        <v>34</v>
      </c>
      <c r="I16" s="4" t="str">
        <f t="shared" si="2"/>
        <v>1</v>
      </c>
      <c r="J16" s="3" t="s">
        <v>34</v>
      </c>
      <c r="K16" s="4" t="str">
        <f t="shared" si="3"/>
        <v>1</v>
      </c>
      <c r="L16" s="3" t="s">
        <v>34</v>
      </c>
      <c r="M16" s="4" t="str">
        <f t="shared" si="4"/>
        <v>1</v>
      </c>
      <c r="N16" s="3" t="s">
        <v>34</v>
      </c>
      <c r="O16" s="4" t="str">
        <f t="shared" si="5"/>
        <v>1</v>
      </c>
      <c r="P16" s="3" t="s">
        <v>34</v>
      </c>
      <c r="Q16" s="4" t="str">
        <f t="shared" si="6"/>
        <v>1</v>
      </c>
      <c r="R16" s="3" t="s">
        <v>34</v>
      </c>
      <c r="S16" s="4" t="str">
        <f t="shared" si="7"/>
        <v>1</v>
      </c>
      <c r="T16" s="3" t="s">
        <v>85</v>
      </c>
      <c r="U16" s="4" t="str">
        <f t="shared" si="8"/>
        <v>0</v>
      </c>
    </row>
    <row r="17">
      <c r="A17" s="3" t="s">
        <v>21</v>
      </c>
      <c r="B17" s="3">
        <v>16.0</v>
      </c>
      <c r="C17" s="3" t="s">
        <v>41</v>
      </c>
      <c r="D17" s="3" t="s">
        <v>29</v>
      </c>
      <c r="E17" s="3" t="s">
        <v>41</v>
      </c>
      <c r="F17" s="3" t="s">
        <v>41</v>
      </c>
      <c r="G17" s="4" t="str">
        <f t="shared" si="1"/>
        <v>1</v>
      </c>
      <c r="H17" s="3" t="s">
        <v>41</v>
      </c>
      <c r="I17" s="4" t="str">
        <f t="shared" si="2"/>
        <v>1</v>
      </c>
      <c r="J17" s="3" t="s">
        <v>41</v>
      </c>
      <c r="K17" s="4" t="str">
        <f t="shared" si="3"/>
        <v>1</v>
      </c>
      <c r="L17" s="3" t="s">
        <v>41</v>
      </c>
      <c r="M17" s="4" t="str">
        <f t="shared" si="4"/>
        <v>1</v>
      </c>
      <c r="N17" s="3" t="s">
        <v>41</v>
      </c>
      <c r="O17" s="4" t="str">
        <f t="shared" si="5"/>
        <v>1</v>
      </c>
      <c r="P17" s="3" t="s">
        <v>41</v>
      </c>
      <c r="Q17" s="4" t="str">
        <f t="shared" si="6"/>
        <v>1</v>
      </c>
      <c r="R17" s="3" t="s">
        <v>41</v>
      </c>
      <c r="S17" s="4" t="str">
        <f t="shared" si="7"/>
        <v>1</v>
      </c>
      <c r="T17" s="3" t="s">
        <v>41</v>
      </c>
      <c r="U17" s="4" t="str">
        <f t="shared" si="8"/>
        <v>1</v>
      </c>
    </row>
    <row r="18">
      <c r="A18" s="3" t="s">
        <v>21</v>
      </c>
      <c r="B18" s="3">
        <v>17.0</v>
      </c>
      <c r="C18" s="3" t="s">
        <v>59</v>
      </c>
      <c r="D18" s="3" t="s">
        <v>110</v>
      </c>
      <c r="E18" s="3" t="s">
        <v>59</v>
      </c>
      <c r="F18" s="3" t="s">
        <v>59</v>
      </c>
      <c r="G18" s="4" t="str">
        <f t="shared" si="1"/>
        <v>1</v>
      </c>
      <c r="H18" s="3" t="s">
        <v>59</v>
      </c>
      <c r="I18" s="4" t="str">
        <f t="shared" si="2"/>
        <v>1</v>
      </c>
      <c r="J18" s="3" t="s">
        <v>59</v>
      </c>
      <c r="K18" s="4" t="str">
        <f t="shared" si="3"/>
        <v>1</v>
      </c>
      <c r="L18" s="3" t="s">
        <v>59</v>
      </c>
      <c r="M18" s="4" t="str">
        <f t="shared" si="4"/>
        <v>1</v>
      </c>
      <c r="N18" s="3" t="s">
        <v>59</v>
      </c>
      <c r="O18" s="4" t="str">
        <f t="shared" si="5"/>
        <v>1</v>
      </c>
      <c r="P18" s="3" t="s">
        <v>59</v>
      </c>
      <c r="Q18" s="4" t="str">
        <f t="shared" si="6"/>
        <v>1</v>
      </c>
      <c r="R18" s="3" t="s">
        <v>59</v>
      </c>
      <c r="S18" s="4" t="str">
        <f t="shared" si="7"/>
        <v>1</v>
      </c>
      <c r="T18" s="3" t="s">
        <v>59</v>
      </c>
      <c r="U18" s="4" t="str">
        <f t="shared" si="8"/>
        <v>1</v>
      </c>
    </row>
    <row r="19">
      <c r="A19" s="3" t="s">
        <v>21</v>
      </c>
      <c r="B19" s="3">
        <v>18.0</v>
      </c>
      <c r="C19" s="3" t="s">
        <v>77</v>
      </c>
      <c r="D19" s="3" t="s">
        <v>87</v>
      </c>
      <c r="E19" s="3" t="s">
        <v>87</v>
      </c>
      <c r="F19" s="3" t="s">
        <v>87</v>
      </c>
      <c r="G19" s="4" t="str">
        <f t="shared" si="1"/>
        <v>1</v>
      </c>
      <c r="H19" s="3" t="s">
        <v>77</v>
      </c>
      <c r="I19" s="4" t="str">
        <f t="shared" si="2"/>
        <v>0</v>
      </c>
      <c r="J19" s="3" t="s">
        <v>87</v>
      </c>
      <c r="K19" s="4" t="str">
        <f t="shared" si="3"/>
        <v>1</v>
      </c>
      <c r="L19" s="3" t="s">
        <v>87</v>
      </c>
      <c r="M19" s="4" t="str">
        <f t="shared" si="4"/>
        <v>1</v>
      </c>
      <c r="N19" s="3" t="s">
        <v>87</v>
      </c>
      <c r="O19" s="4" t="str">
        <f t="shared" si="5"/>
        <v>1</v>
      </c>
      <c r="P19" s="3" t="s">
        <v>77</v>
      </c>
      <c r="Q19" s="4" t="str">
        <f t="shared" si="6"/>
        <v>0</v>
      </c>
      <c r="R19" s="3" t="s">
        <v>87</v>
      </c>
      <c r="S19" s="4" t="str">
        <f t="shared" si="7"/>
        <v>1</v>
      </c>
      <c r="T19" s="3" t="s">
        <v>77</v>
      </c>
      <c r="U19" s="4" t="str">
        <f t="shared" si="8"/>
        <v>0</v>
      </c>
    </row>
    <row r="20">
      <c r="A20" s="3" t="s">
        <v>21</v>
      </c>
      <c r="B20" s="3">
        <v>19.0</v>
      </c>
      <c r="C20" s="3" t="s">
        <v>86</v>
      </c>
      <c r="D20" s="3" t="s">
        <v>111</v>
      </c>
      <c r="E20" s="3" t="s">
        <v>86</v>
      </c>
      <c r="F20" s="3" t="s">
        <v>86</v>
      </c>
      <c r="G20" s="4" t="str">
        <f t="shared" si="1"/>
        <v>1</v>
      </c>
      <c r="H20" s="3" t="s">
        <v>86</v>
      </c>
      <c r="I20" s="4" t="str">
        <f t="shared" si="2"/>
        <v>1</v>
      </c>
      <c r="J20" s="3" t="s">
        <v>86</v>
      </c>
      <c r="K20" s="4" t="str">
        <f t="shared" si="3"/>
        <v>1</v>
      </c>
      <c r="L20" s="3" t="s">
        <v>86</v>
      </c>
      <c r="M20" s="4" t="str">
        <f t="shared" si="4"/>
        <v>1</v>
      </c>
      <c r="N20" s="3" t="s">
        <v>86</v>
      </c>
      <c r="O20" s="4" t="str">
        <f t="shared" si="5"/>
        <v>1</v>
      </c>
      <c r="P20" s="3" t="s">
        <v>86</v>
      </c>
      <c r="Q20" s="4" t="str">
        <f t="shared" si="6"/>
        <v>1</v>
      </c>
      <c r="R20" s="3" t="s">
        <v>86</v>
      </c>
      <c r="S20" s="4" t="str">
        <f t="shared" si="7"/>
        <v>1</v>
      </c>
      <c r="T20" s="3" t="s">
        <v>86</v>
      </c>
      <c r="U20" s="4" t="str">
        <f t="shared" si="8"/>
        <v>1</v>
      </c>
    </row>
    <row r="21">
      <c r="A21" s="3" t="s">
        <v>21</v>
      </c>
      <c r="B21" s="3">
        <v>20.0</v>
      </c>
      <c r="C21" s="3" t="s">
        <v>44</v>
      </c>
      <c r="D21" s="3" t="s">
        <v>112</v>
      </c>
      <c r="E21" s="3" t="s">
        <v>44</v>
      </c>
      <c r="F21" s="3" t="s">
        <v>44</v>
      </c>
      <c r="G21" s="4" t="str">
        <f t="shared" si="1"/>
        <v>1</v>
      </c>
      <c r="H21" s="3" t="s">
        <v>44</v>
      </c>
      <c r="I21" s="4" t="str">
        <f t="shared" si="2"/>
        <v>1</v>
      </c>
      <c r="J21" s="3" t="s">
        <v>44</v>
      </c>
      <c r="K21" s="4" t="str">
        <f t="shared" si="3"/>
        <v>1</v>
      </c>
      <c r="L21" s="3" t="s">
        <v>44</v>
      </c>
      <c r="M21" s="4" t="str">
        <f t="shared" si="4"/>
        <v>1</v>
      </c>
      <c r="N21" s="3" t="s">
        <v>44</v>
      </c>
      <c r="O21" s="4" t="str">
        <f t="shared" si="5"/>
        <v>1</v>
      </c>
      <c r="P21" s="3" t="s">
        <v>44</v>
      </c>
      <c r="Q21" s="4" t="str">
        <f t="shared" si="6"/>
        <v>1</v>
      </c>
      <c r="R21" s="3" t="s">
        <v>44</v>
      </c>
      <c r="S21" s="4" t="str">
        <f t="shared" si="7"/>
        <v>1</v>
      </c>
      <c r="T21" s="3" t="s">
        <v>44</v>
      </c>
      <c r="U21" s="4" t="str">
        <f t="shared" si="8"/>
        <v>1</v>
      </c>
    </row>
    <row r="22">
      <c r="A22" s="3" t="s">
        <v>21</v>
      </c>
      <c r="B22" s="3">
        <v>21.0</v>
      </c>
      <c r="C22" s="3" t="s">
        <v>82</v>
      </c>
      <c r="D22" s="3" t="s">
        <v>113</v>
      </c>
      <c r="E22" s="3" t="s">
        <v>113</v>
      </c>
      <c r="F22" s="3" t="s">
        <v>82</v>
      </c>
      <c r="G22" s="4" t="str">
        <f t="shared" si="1"/>
        <v>0</v>
      </c>
      <c r="H22" s="3" t="s">
        <v>82</v>
      </c>
      <c r="I22" s="4" t="str">
        <f t="shared" si="2"/>
        <v>0</v>
      </c>
      <c r="J22" s="3" t="s">
        <v>82</v>
      </c>
      <c r="K22" s="4" t="str">
        <f t="shared" si="3"/>
        <v>0</v>
      </c>
      <c r="L22" s="3" t="s">
        <v>82</v>
      </c>
      <c r="M22" s="4" t="str">
        <f t="shared" si="4"/>
        <v>0</v>
      </c>
      <c r="N22" s="3" t="s">
        <v>82</v>
      </c>
      <c r="O22" s="4" t="str">
        <f t="shared" si="5"/>
        <v>0</v>
      </c>
      <c r="P22" s="3" t="s">
        <v>82</v>
      </c>
      <c r="Q22" s="4" t="str">
        <f t="shared" si="6"/>
        <v>0</v>
      </c>
      <c r="R22" s="3" t="s">
        <v>82</v>
      </c>
      <c r="S22" s="4" t="str">
        <f t="shared" si="7"/>
        <v>0</v>
      </c>
      <c r="T22" s="3" t="s">
        <v>82</v>
      </c>
      <c r="U22" s="4" t="str">
        <f t="shared" si="8"/>
        <v>0</v>
      </c>
    </row>
    <row r="23">
      <c r="A23" s="3" t="s">
        <v>21</v>
      </c>
      <c r="B23" s="3">
        <v>22.0</v>
      </c>
      <c r="C23" s="3" t="s">
        <v>114</v>
      </c>
      <c r="D23" s="3" t="s">
        <v>115</v>
      </c>
      <c r="E23" s="3" t="s">
        <v>114</v>
      </c>
      <c r="F23" s="3" t="s">
        <v>114</v>
      </c>
      <c r="G23" s="4" t="str">
        <f t="shared" si="1"/>
        <v>1</v>
      </c>
      <c r="H23" s="3" t="s">
        <v>114</v>
      </c>
      <c r="I23" s="4" t="str">
        <f t="shared" si="2"/>
        <v>1</v>
      </c>
      <c r="J23" s="3" t="s">
        <v>114</v>
      </c>
      <c r="K23" s="4" t="str">
        <f t="shared" si="3"/>
        <v>1</v>
      </c>
      <c r="L23" s="3" t="s">
        <v>114</v>
      </c>
      <c r="M23" s="4" t="str">
        <f t="shared" si="4"/>
        <v>1</v>
      </c>
      <c r="N23" s="3" t="s">
        <v>114</v>
      </c>
      <c r="O23" s="4" t="str">
        <f t="shared" si="5"/>
        <v>1</v>
      </c>
      <c r="P23" s="3" t="s">
        <v>114</v>
      </c>
      <c r="Q23" s="4" t="str">
        <f t="shared" si="6"/>
        <v>1</v>
      </c>
      <c r="R23" s="3" t="s">
        <v>114</v>
      </c>
      <c r="S23" s="4" t="str">
        <f t="shared" si="7"/>
        <v>1</v>
      </c>
      <c r="T23" s="3" t="s">
        <v>114</v>
      </c>
      <c r="U23" s="4" t="str">
        <f t="shared" si="8"/>
        <v>1</v>
      </c>
    </row>
    <row r="24">
      <c r="A24" s="3" t="s">
        <v>21</v>
      </c>
      <c r="B24" s="3">
        <v>23.0</v>
      </c>
      <c r="C24" s="3" t="s">
        <v>116</v>
      </c>
      <c r="D24" s="3" t="s">
        <v>117</v>
      </c>
      <c r="E24" s="3" t="s">
        <v>117</v>
      </c>
      <c r="F24" s="3" t="s">
        <v>116</v>
      </c>
      <c r="G24" s="4" t="str">
        <f t="shared" si="1"/>
        <v>0</v>
      </c>
      <c r="H24" s="3" t="s">
        <v>116</v>
      </c>
      <c r="I24" s="4" t="str">
        <f t="shared" si="2"/>
        <v>0</v>
      </c>
      <c r="J24" s="3" t="s">
        <v>117</v>
      </c>
      <c r="K24" s="4" t="str">
        <f t="shared" si="3"/>
        <v>1</v>
      </c>
      <c r="L24" s="3" t="s">
        <v>117</v>
      </c>
      <c r="M24" s="4" t="str">
        <f t="shared" si="4"/>
        <v>1</v>
      </c>
      <c r="N24" s="3" t="s">
        <v>117</v>
      </c>
      <c r="O24" s="4" t="str">
        <f t="shared" si="5"/>
        <v>1</v>
      </c>
      <c r="P24" s="3" t="s">
        <v>117</v>
      </c>
      <c r="Q24" s="4" t="str">
        <f t="shared" si="6"/>
        <v>1</v>
      </c>
      <c r="R24" s="3" t="s">
        <v>116</v>
      </c>
      <c r="S24" s="4" t="str">
        <f t="shared" si="7"/>
        <v>0</v>
      </c>
      <c r="T24" s="3" t="s">
        <v>116</v>
      </c>
      <c r="U24" s="4" t="str">
        <f t="shared" si="8"/>
        <v>0</v>
      </c>
    </row>
    <row r="25">
      <c r="A25" s="3" t="s">
        <v>21</v>
      </c>
      <c r="B25" s="3">
        <v>24.0</v>
      </c>
      <c r="C25" s="3" t="s">
        <v>47</v>
      </c>
      <c r="D25" s="3" t="s">
        <v>84</v>
      </c>
      <c r="E25" s="3" t="s">
        <v>47</v>
      </c>
      <c r="F25" s="3" t="s">
        <v>47</v>
      </c>
      <c r="G25" s="4" t="str">
        <f t="shared" si="1"/>
        <v>1</v>
      </c>
      <c r="H25" s="3" t="s">
        <v>47</v>
      </c>
      <c r="I25" s="4" t="str">
        <f t="shared" si="2"/>
        <v>1</v>
      </c>
      <c r="J25" s="3" t="s">
        <v>47</v>
      </c>
      <c r="K25" s="4" t="str">
        <f t="shared" si="3"/>
        <v>1</v>
      </c>
      <c r="L25" s="3" t="s">
        <v>47</v>
      </c>
      <c r="M25" s="4" t="str">
        <f t="shared" si="4"/>
        <v>1</v>
      </c>
      <c r="N25" s="3" t="s">
        <v>47</v>
      </c>
      <c r="O25" s="4" t="str">
        <f t="shared" si="5"/>
        <v>1</v>
      </c>
      <c r="P25" s="3" t="s">
        <v>47</v>
      </c>
      <c r="Q25" s="4" t="str">
        <f t="shared" si="6"/>
        <v>1</v>
      </c>
      <c r="R25" s="3" t="s">
        <v>47</v>
      </c>
      <c r="S25" s="4" t="str">
        <f t="shared" si="7"/>
        <v>1</v>
      </c>
      <c r="T25" s="3" t="s">
        <v>47</v>
      </c>
      <c r="U25" s="4" t="str">
        <f t="shared" si="8"/>
        <v>1</v>
      </c>
    </row>
    <row r="26">
      <c r="A26" s="3" t="s">
        <v>21</v>
      </c>
      <c r="B26" s="3">
        <v>25.0</v>
      </c>
      <c r="C26" s="3" t="s">
        <v>73</v>
      </c>
      <c r="D26" s="3" t="s">
        <v>118</v>
      </c>
      <c r="E26" s="3" t="s">
        <v>73</v>
      </c>
      <c r="F26" s="3" t="s">
        <v>73</v>
      </c>
      <c r="G26" s="4" t="str">
        <f t="shared" si="1"/>
        <v>1</v>
      </c>
      <c r="H26" s="3" t="s">
        <v>73</v>
      </c>
      <c r="I26" s="4" t="str">
        <f t="shared" si="2"/>
        <v>1</v>
      </c>
      <c r="J26" s="3" t="s">
        <v>73</v>
      </c>
      <c r="K26" s="4" t="str">
        <f t="shared" si="3"/>
        <v>1</v>
      </c>
      <c r="L26" s="3" t="s">
        <v>73</v>
      </c>
      <c r="M26" s="4" t="str">
        <f t="shared" si="4"/>
        <v>1</v>
      </c>
      <c r="N26" s="3" t="s">
        <v>73</v>
      </c>
      <c r="O26" s="4" t="str">
        <f t="shared" si="5"/>
        <v>1</v>
      </c>
      <c r="P26" s="3" t="s">
        <v>73</v>
      </c>
      <c r="Q26" s="4" t="str">
        <f t="shared" si="6"/>
        <v>1</v>
      </c>
      <c r="R26" s="3" t="s">
        <v>73</v>
      </c>
      <c r="S26" s="4" t="str">
        <f t="shared" si="7"/>
        <v>1</v>
      </c>
      <c r="T26" s="3" t="s">
        <v>73</v>
      </c>
      <c r="U26" s="4" t="str">
        <f t="shared" si="8"/>
        <v>1</v>
      </c>
    </row>
    <row r="27">
      <c r="A27" s="3" t="s">
        <v>21</v>
      </c>
      <c r="B27" s="3">
        <v>26.0</v>
      </c>
      <c r="C27" s="3" t="s">
        <v>28</v>
      </c>
      <c r="D27" s="3" t="s">
        <v>61</v>
      </c>
      <c r="E27" s="3" t="s">
        <v>28</v>
      </c>
      <c r="F27" s="3" t="s">
        <v>28</v>
      </c>
      <c r="G27" s="4" t="str">
        <f t="shared" si="1"/>
        <v>1</v>
      </c>
      <c r="H27" s="3" t="s">
        <v>28</v>
      </c>
      <c r="I27" s="4" t="str">
        <f t="shared" si="2"/>
        <v>1</v>
      </c>
      <c r="J27" s="3" t="s">
        <v>28</v>
      </c>
      <c r="K27" s="4" t="str">
        <f t="shared" si="3"/>
        <v>1</v>
      </c>
      <c r="L27" s="3" t="s">
        <v>28</v>
      </c>
      <c r="M27" s="4" t="str">
        <f t="shared" si="4"/>
        <v>1</v>
      </c>
      <c r="N27" s="3" t="s">
        <v>28</v>
      </c>
      <c r="O27" s="4" t="str">
        <f t="shared" si="5"/>
        <v>1</v>
      </c>
      <c r="P27" s="3" t="s">
        <v>28</v>
      </c>
      <c r="Q27" s="4" t="str">
        <f t="shared" si="6"/>
        <v>1</v>
      </c>
      <c r="R27" s="3" t="s">
        <v>63</v>
      </c>
      <c r="S27" s="4" t="str">
        <f t="shared" si="7"/>
        <v>0</v>
      </c>
      <c r="T27" s="3" t="s">
        <v>28</v>
      </c>
      <c r="U27" s="4" t="str">
        <f t="shared" si="8"/>
        <v>1</v>
      </c>
    </row>
    <row r="28">
      <c r="A28" s="3" t="s">
        <v>21</v>
      </c>
      <c r="B28" s="3">
        <v>27.0</v>
      </c>
      <c r="C28" s="3" t="s">
        <v>43</v>
      </c>
      <c r="D28" s="3" t="s">
        <v>119</v>
      </c>
      <c r="E28" s="3" t="s">
        <v>43</v>
      </c>
      <c r="F28" s="3" t="s">
        <v>43</v>
      </c>
      <c r="G28" s="4" t="str">
        <f t="shared" si="1"/>
        <v>1</v>
      </c>
      <c r="H28" s="3" t="s">
        <v>43</v>
      </c>
      <c r="I28" s="4" t="str">
        <f t="shared" si="2"/>
        <v>1</v>
      </c>
      <c r="J28" s="3" t="s">
        <v>43</v>
      </c>
      <c r="K28" s="4" t="str">
        <f t="shared" si="3"/>
        <v>1</v>
      </c>
      <c r="L28" s="3" t="s">
        <v>43</v>
      </c>
      <c r="M28" s="4" t="str">
        <f t="shared" si="4"/>
        <v>1</v>
      </c>
      <c r="N28" s="3" t="s">
        <v>43</v>
      </c>
      <c r="O28" s="4" t="str">
        <f t="shared" si="5"/>
        <v>1</v>
      </c>
      <c r="P28" s="3" t="s">
        <v>43</v>
      </c>
      <c r="Q28" s="4" t="str">
        <f t="shared" si="6"/>
        <v>1</v>
      </c>
      <c r="R28" s="3" t="s">
        <v>43</v>
      </c>
      <c r="S28" s="4" t="str">
        <f t="shared" si="7"/>
        <v>1</v>
      </c>
      <c r="T28" s="3" t="s">
        <v>43</v>
      </c>
      <c r="U28" s="4" t="str">
        <f t="shared" si="8"/>
        <v>1</v>
      </c>
    </row>
    <row r="29">
      <c r="A29" s="3" t="s">
        <v>21</v>
      </c>
      <c r="B29" s="3">
        <v>28.0</v>
      </c>
      <c r="C29" s="3" t="s">
        <v>26</v>
      </c>
      <c r="D29" s="3" t="s">
        <v>120</v>
      </c>
      <c r="E29" s="3" t="s">
        <v>26</v>
      </c>
      <c r="F29" s="3" t="s">
        <v>26</v>
      </c>
      <c r="G29" s="4" t="str">
        <f t="shared" si="1"/>
        <v>1</v>
      </c>
      <c r="H29" s="3" t="s">
        <v>26</v>
      </c>
      <c r="I29" s="4" t="str">
        <f t="shared" si="2"/>
        <v>1</v>
      </c>
      <c r="J29" s="3" t="s">
        <v>26</v>
      </c>
      <c r="K29" s="4" t="str">
        <f t="shared" si="3"/>
        <v>1</v>
      </c>
      <c r="L29" s="3" t="s">
        <v>26</v>
      </c>
      <c r="M29" s="4" t="str">
        <f t="shared" si="4"/>
        <v>1</v>
      </c>
      <c r="N29" s="3" t="s">
        <v>26</v>
      </c>
      <c r="O29" s="4" t="str">
        <f t="shared" si="5"/>
        <v>1</v>
      </c>
      <c r="P29" s="3" t="s">
        <v>26</v>
      </c>
      <c r="Q29" s="4" t="str">
        <f t="shared" si="6"/>
        <v>1</v>
      </c>
      <c r="R29" s="3" t="s">
        <v>26</v>
      </c>
      <c r="S29" s="4" t="str">
        <f t="shared" si="7"/>
        <v>1</v>
      </c>
      <c r="T29" s="3" t="s">
        <v>26</v>
      </c>
      <c r="U29" s="4" t="str">
        <f t="shared" si="8"/>
        <v>1</v>
      </c>
    </row>
    <row r="30">
      <c r="A30" s="3" t="s">
        <v>21</v>
      </c>
      <c r="B30" s="3">
        <v>29.0</v>
      </c>
      <c r="C30" s="3" t="s">
        <v>58</v>
      </c>
      <c r="D30" s="3" t="s">
        <v>121</v>
      </c>
      <c r="E30" s="3" t="s">
        <v>58</v>
      </c>
      <c r="F30" s="3" t="s">
        <v>58</v>
      </c>
      <c r="G30" s="4" t="str">
        <f t="shared" si="1"/>
        <v>1</v>
      </c>
      <c r="H30" s="3" t="s">
        <v>58</v>
      </c>
      <c r="I30" s="4" t="str">
        <f t="shared" si="2"/>
        <v>1</v>
      </c>
      <c r="J30" s="3" t="s">
        <v>58</v>
      </c>
      <c r="K30" s="4" t="str">
        <f t="shared" si="3"/>
        <v>1</v>
      </c>
      <c r="L30" s="3" t="s">
        <v>58</v>
      </c>
      <c r="M30" s="4" t="str">
        <f t="shared" si="4"/>
        <v>1</v>
      </c>
      <c r="N30" s="3" t="s">
        <v>58</v>
      </c>
      <c r="O30" s="4" t="str">
        <f t="shared" si="5"/>
        <v>1</v>
      </c>
      <c r="P30" s="3" t="s">
        <v>58</v>
      </c>
      <c r="Q30" s="4" t="str">
        <f t="shared" si="6"/>
        <v>1</v>
      </c>
      <c r="R30" s="3" t="s">
        <v>58</v>
      </c>
      <c r="S30" s="4" t="str">
        <f t="shared" si="7"/>
        <v>1</v>
      </c>
      <c r="T30" s="3" t="s">
        <v>58</v>
      </c>
      <c r="U30" s="4" t="str">
        <f t="shared" si="8"/>
        <v>1</v>
      </c>
    </row>
    <row r="31">
      <c r="A31" s="3" t="s">
        <v>21</v>
      </c>
      <c r="B31" s="3">
        <v>30.0</v>
      </c>
      <c r="C31" s="3" t="s">
        <v>22</v>
      </c>
      <c r="D31" s="3" t="s">
        <v>122</v>
      </c>
      <c r="E31" s="3" t="s">
        <v>22</v>
      </c>
      <c r="F31" s="3" t="s">
        <v>22</v>
      </c>
      <c r="G31" s="4" t="str">
        <f t="shared" si="1"/>
        <v>1</v>
      </c>
      <c r="H31" s="3" t="s">
        <v>22</v>
      </c>
      <c r="I31" s="4" t="str">
        <f t="shared" si="2"/>
        <v>1</v>
      </c>
      <c r="J31" s="3" t="s">
        <v>22</v>
      </c>
      <c r="K31" s="4" t="str">
        <f t="shared" si="3"/>
        <v>1</v>
      </c>
      <c r="L31" s="3" t="s">
        <v>22</v>
      </c>
      <c r="M31" s="4" t="str">
        <f t="shared" si="4"/>
        <v>1</v>
      </c>
      <c r="N31" s="3" t="s">
        <v>22</v>
      </c>
      <c r="O31" s="4" t="str">
        <f t="shared" si="5"/>
        <v>1</v>
      </c>
      <c r="P31" s="3" t="s">
        <v>22</v>
      </c>
      <c r="Q31" s="4" t="str">
        <f t="shared" si="6"/>
        <v>1</v>
      </c>
      <c r="R31" s="3" t="s">
        <v>22</v>
      </c>
      <c r="S31" s="4" t="str">
        <f t="shared" si="7"/>
        <v>1</v>
      </c>
      <c r="T31" s="3" t="s">
        <v>22</v>
      </c>
      <c r="U31" s="4" t="str">
        <f t="shared" si="8"/>
        <v>1</v>
      </c>
    </row>
    <row r="32">
      <c r="A32" s="3" t="s">
        <v>21</v>
      </c>
      <c r="B32" s="3">
        <v>31.0</v>
      </c>
      <c r="C32" s="3" t="s">
        <v>123</v>
      </c>
      <c r="D32" s="3" t="s">
        <v>24</v>
      </c>
      <c r="E32" s="3" t="s">
        <v>123</v>
      </c>
      <c r="F32" s="3" t="s">
        <v>24</v>
      </c>
      <c r="G32" s="4" t="str">
        <f t="shared" si="1"/>
        <v>0</v>
      </c>
      <c r="H32" s="3" t="s">
        <v>24</v>
      </c>
      <c r="I32" s="4" t="str">
        <f t="shared" si="2"/>
        <v>0</v>
      </c>
      <c r="J32" s="3" t="s">
        <v>124</v>
      </c>
      <c r="K32" s="4" t="str">
        <f t="shared" si="3"/>
        <v>0</v>
      </c>
      <c r="L32" s="3" t="s">
        <v>124</v>
      </c>
      <c r="M32" s="4" t="str">
        <f t="shared" si="4"/>
        <v>0</v>
      </c>
      <c r="N32" s="3" t="s">
        <v>124</v>
      </c>
      <c r="O32" s="4" t="str">
        <f t="shared" si="5"/>
        <v>0</v>
      </c>
      <c r="P32" s="3" t="s">
        <v>124</v>
      </c>
      <c r="Q32" s="4" t="str">
        <f t="shared" si="6"/>
        <v>0</v>
      </c>
      <c r="R32" s="3" t="s">
        <v>24</v>
      </c>
      <c r="S32" s="4" t="str">
        <f t="shared" si="7"/>
        <v>0</v>
      </c>
      <c r="T32" s="3" t="s">
        <v>124</v>
      </c>
      <c r="U32" s="4" t="str">
        <f t="shared" si="8"/>
        <v>0</v>
      </c>
    </row>
    <row r="33">
      <c r="A33" s="3" t="s">
        <v>21</v>
      </c>
      <c r="B33" s="3">
        <v>32.0</v>
      </c>
      <c r="C33" s="3" t="s">
        <v>45</v>
      </c>
      <c r="D33" s="3" t="s">
        <v>125</v>
      </c>
      <c r="E33" s="3" t="s">
        <v>45</v>
      </c>
      <c r="F33" s="3" t="s">
        <v>45</v>
      </c>
      <c r="G33" s="4" t="str">
        <f t="shared" si="1"/>
        <v>1</v>
      </c>
      <c r="H33" s="3" t="s">
        <v>45</v>
      </c>
      <c r="I33" s="4" t="str">
        <f t="shared" si="2"/>
        <v>1</v>
      </c>
      <c r="J33" s="3" t="s">
        <v>45</v>
      </c>
      <c r="K33" s="4" t="str">
        <f t="shared" si="3"/>
        <v>1</v>
      </c>
      <c r="L33" s="3" t="s">
        <v>45</v>
      </c>
      <c r="M33" s="4" t="str">
        <f t="shared" si="4"/>
        <v>1</v>
      </c>
      <c r="N33" s="3" t="s">
        <v>45</v>
      </c>
      <c r="O33" s="4" t="str">
        <f t="shared" si="5"/>
        <v>1</v>
      </c>
      <c r="P33" s="3" t="s">
        <v>45</v>
      </c>
      <c r="Q33" s="4" t="str">
        <f t="shared" si="6"/>
        <v>1</v>
      </c>
      <c r="R33" s="3" t="s">
        <v>45</v>
      </c>
      <c r="S33" s="4" t="str">
        <f t="shared" si="7"/>
        <v>1</v>
      </c>
      <c r="T33" s="3" t="s">
        <v>45</v>
      </c>
      <c r="U33" s="4" t="str">
        <f t="shared" si="8"/>
        <v>1</v>
      </c>
    </row>
    <row r="34">
      <c r="A34" s="3" t="s">
        <v>89</v>
      </c>
      <c r="B34" s="3">
        <v>1.0</v>
      </c>
      <c r="C34" s="3" t="s">
        <v>30</v>
      </c>
      <c r="D34" s="3" t="s">
        <v>95</v>
      </c>
      <c r="E34" s="3" t="s">
        <v>30</v>
      </c>
      <c r="F34" s="3" t="s">
        <v>30</v>
      </c>
      <c r="G34" s="4" t="str">
        <f t="shared" si="1"/>
        <v>1</v>
      </c>
      <c r="H34" s="3" t="s">
        <v>30</v>
      </c>
      <c r="I34" s="4" t="str">
        <f t="shared" si="2"/>
        <v>1</v>
      </c>
      <c r="J34" s="3" t="s">
        <v>96</v>
      </c>
      <c r="K34" s="4" t="str">
        <f t="shared" si="3"/>
        <v>0</v>
      </c>
      <c r="L34" s="3" t="s">
        <v>30</v>
      </c>
      <c r="M34" s="4" t="str">
        <f t="shared" si="4"/>
        <v>1</v>
      </c>
      <c r="N34" s="3" t="s">
        <v>96</v>
      </c>
      <c r="O34" s="4" t="str">
        <f t="shared" si="5"/>
        <v>0</v>
      </c>
      <c r="P34" s="3" t="s">
        <v>30</v>
      </c>
      <c r="Q34" s="4" t="str">
        <f t="shared" si="6"/>
        <v>1</v>
      </c>
      <c r="R34" s="3" t="s">
        <v>30</v>
      </c>
      <c r="S34" s="4" t="str">
        <f t="shared" si="7"/>
        <v>1</v>
      </c>
      <c r="T34" s="3" t="s">
        <v>30</v>
      </c>
      <c r="U34" s="4" t="str">
        <f t="shared" si="8"/>
        <v>1</v>
      </c>
    </row>
    <row r="35">
      <c r="A35" s="3" t="s">
        <v>89</v>
      </c>
      <c r="B35" s="3">
        <v>2.0</v>
      </c>
      <c r="C35" s="3" t="s">
        <v>75</v>
      </c>
      <c r="D35" s="3" t="s">
        <v>99</v>
      </c>
      <c r="E35" s="3" t="s">
        <v>75</v>
      </c>
      <c r="F35" s="3" t="s">
        <v>75</v>
      </c>
      <c r="G35" s="4" t="str">
        <f t="shared" si="1"/>
        <v>1</v>
      </c>
      <c r="H35" s="3" t="s">
        <v>75</v>
      </c>
      <c r="I35" s="4" t="str">
        <f t="shared" si="2"/>
        <v>1</v>
      </c>
      <c r="J35" s="3" t="s">
        <v>75</v>
      </c>
      <c r="K35" s="4" t="str">
        <f t="shared" si="3"/>
        <v>1</v>
      </c>
      <c r="L35" s="3" t="s">
        <v>75</v>
      </c>
      <c r="M35" s="4" t="str">
        <f t="shared" si="4"/>
        <v>1</v>
      </c>
      <c r="N35" s="3" t="s">
        <v>75</v>
      </c>
      <c r="O35" s="4" t="str">
        <f t="shared" si="5"/>
        <v>1</v>
      </c>
      <c r="P35" s="3" t="s">
        <v>75</v>
      </c>
      <c r="Q35" s="4" t="str">
        <f t="shared" si="6"/>
        <v>1</v>
      </c>
      <c r="R35" s="3" t="s">
        <v>75</v>
      </c>
      <c r="S35" s="4" t="str">
        <f t="shared" si="7"/>
        <v>1</v>
      </c>
      <c r="T35" s="3" t="s">
        <v>75</v>
      </c>
      <c r="U35" s="4" t="str">
        <f t="shared" si="8"/>
        <v>1</v>
      </c>
    </row>
    <row r="36">
      <c r="A36" s="3" t="s">
        <v>89</v>
      </c>
      <c r="B36" s="3">
        <v>3.0</v>
      </c>
      <c r="C36" s="3" t="s">
        <v>76</v>
      </c>
      <c r="D36" s="3" t="s">
        <v>38</v>
      </c>
      <c r="E36" s="3" t="s">
        <v>76</v>
      </c>
      <c r="F36" s="3" t="s">
        <v>38</v>
      </c>
      <c r="G36" s="4" t="str">
        <f t="shared" si="1"/>
        <v>0</v>
      </c>
      <c r="H36" s="3" t="s">
        <v>76</v>
      </c>
      <c r="I36" s="4" t="str">
        <f t="shared" si="2"/>
        <v>1</v>
      </c>
      <c r="J36" s="3" t="s">
        <v>38</v>
      </c>
      <c r="K36" s="4" t="str">
        <f t="shared" si="3"/>
        <v>0</v>
      </c>
      <c r="L36" s="3" t="s">
        <v>38</v>
      </c>
      <c r="M36" s="4" t="str">
        <f t="shared" si="4"/>
        <v>0</v>
      </c>
      <c r="N36" s="3" t="s">
        <v>38</v>
      </c>
      <c r="O36" s="4" t="str">
        <f t="shared" si="5"/>
        <v>0</v>
      </c>
      <c r="P36" s="3" t="s">
        <v>38</v>
      </c>
      <c r="Q36" s="4" t="str">
        <f t="shared" si="6"/>
        <v>0</v>
      </c>
      <c r="R36" s="3" t="s">
        <v>38</v>
      </c>
      <c r="S36" s="4" t="str">
        <f t="shared" si="7"/>
        <v>0</v>
      </c>
      <c r="T36" s="3" t="s">
        <v>38</v>
      </c>
      <c r="U36" s="4" t="str">
        <f t="shared" si="8"/>
        <v>0</v>
      </c>
    </row>
    <row r="37">
      <c r="A37" s="3" t="s">
        <v>89</v>
      </c>
      <c r="B37" s="3">
        <v>4.0</v>
      </c>
      <c r="C37" s="3" t="s">
        <v>102</v>
      </c>
      <c r="D37" s="3" t="s">
        <v>104</v>
      </c>
      <c r="E37" s="3" t="s">
        <v>104</v>
      </c>
      <c r="F37" s="3" t="s">
        <v>55</v>
      </c>
      <c r="G37" s="4" t="str">
        <f t="shared" si="1"/>
        <v>0</v>
      </c>
      <c r="H37" s="3" t="s">
        <v>55</v>
      </c>
      <c r="I37" s="4" t="str">
        <f t="shared" si="2"/>
        <v>0</v>
      </c>
      <c r="J37" s="3" t="s">
        <v>103</v>
      </c>
      <c r="K37" s="4" t="str">
        <f t="shared" si="3"/>
        <v>0</v>
      </c>
      <c r="L37" s="3" t="s">
        <v>103</v>
      </c>
      <c r="M37" s="4" t="str">
        <f t="shared" si="4"/>
        <v>0</v>
      </c>
      <c r="N37" s="3" t="s">
        <v>102</v>
      </c>
      <c r="O37" s="4" t="str">
        <f t="shared" si="5"/>
        <v>0</v>
      </c>
      <c r="P37" s="3" t="s">
        <v>102</v>
      </c>
      <c r="Q37" s="4" t="str">
        <f t="shared" si="6"/>
        <v>0</v>
      </c>
      <c r="R37" s="3" t="s">
        <v>55</v>
      </c>
      <c r="S37" s="4" t="str">
        <f t="shared" si="7"/>
        <v>0</v>
      </c>
      <c r="T37" s="3" t="s">
        <v>55</v>
      </c>
      <c r="U37" s="4" t="str">
        <f t="shared" si="8"/>
        <v>0</v>
      </c>
    </row>
    <row r="38">
      <c r="A38" s="3" t="s">
        <v>89</v>
      </c>
      <c r="B38" s="3">
        <v>5.0</v>
      </c>
      <c r="C38" s="3" t="s">
        <v>105</v>
      </c>
      <c r="D38" s="3" t="s">
        <v>106</v>
      </c>
      <c r="E38" s="3" t="s">
        <v>106</v>
      </c>
      <c r="F38" s="3" t="s">
        <v>49</v>
      </c>
      <c r="G38" s="4" t="str">
        <f t="shared" si="1"/>
        <v>0</v>
      </c>
      <c r="H38" s="3" t="s">
        <v>49</v>
      </c>
      <c r="I38" s="4" t="str">
        <f t="shared" si="2"/>
        <v>0</v>
      </c>
      <c r="J38" s="3" t="s">
        <v>49</v>
      </c>
      <c r="K38" s="4" t="str">
        <f t="shared" si="3"/>
        <v>0</v>
      </c>
      <c r="L38" s="3" t="s">
        <v>49</v>
      </c>
      <c r="M38" s="4" t="str">
        <f t="shared" si="4"/>
        <v>0</v>
      </c>
      <c r="N38" s="3" t="s">
        <v>49</v>
      </c>
      <c r="O38" s="4" t="str">
        <f t="shared" si="5"/>
        <v>0</v>
      </c>
      <c r="P38" s="3" t="s">
        <v>49</v>
      </c>
      <c r="Q38" s="4" t="str">
        <f t="shared" si="6"/>
        <v>0</v>
      </c>
      <c r="R38" s="3" t="s">
        <v>49</v>
      </c>
      <c r="S38" s="4" t="str">
        <f t="shared" si="7"/>
        <v>0</v>
      </c>
      <c r="T38" s="3" t="s">
        <v>49</v>
      </c>
      <c r="U38" s="4" t="str">
        <f t="shared" si="8"/>
        <v>0</v>
      </c>
    </row>
    <row r="39">
      <c r="A39" s="3" t="s">
        <v>89</v>
      </c>
      <c r="B39" s="3">
        <v>6.0</v>
      </c>
      <c r="C39" s="3" t="s">
        <v>36</v>
      </c>
      <c r="D39" s="3" t="s">
        <v>66</v>
      </c>
      <c r="E39" s="3" t="s">
        <v>66</v>
      </c>
      <c r="F39" s="3" t="s">
        <v>66</v>
      </c>
      <c r="G39" s="4" t="str">
        <f t="shared" si="1"/>
        <v>1</v>
      </c>
      <c r="H39" s="3" t="s">
        <v>66</v>
      </c>
      <c r="I39" s="4" t="str">
        <f t="shared" si="2"/>
        <v>1</v>
      </c>
      <c r="J39" s="3" t="s">
        <v>66</v>
      </c>
      <c r="K39" s="4" t="str">
        <f t="shared" si="3"/>
        <v>1</v>
      </c>
      <c r="L39" s="3" t="s">
        <v>66</v>
      </c>
      <c r="M39" s="4" t="str">
        <f t="shared" si="4"/>
        <v>1</v>
      </c>
      <c r="N39" s="3" t="s">
        <v>66</v>
      </c>
      <c r="O39" s="4" t="str">
        <f t="shared" si="5"/>
        <v>1</v>
      </c>
      <c r="P39" s="3" t="s">
        <v>66</v>
      </c>
      <c r="Q39" s="4" t="str">
        <f t="shared" si="6"/>
        <v>1</v>
      </c>
      <c r="R39" s="3" t="s">
        <v>36</v>
      </c>
      <c r="S39" s="4" t="str">
        <f t="shared" si="7"/>
        <v>0</v>
      </c>
      <c r="T39" s="3" t="s">
        <v>36</v>
      </c>
      <c r="U39" s="4" t="str">
        <f t="shared" si="8"/>
        <v>0</v>
      </c>
    </row>
    <row r="40">
      <c r="A40" s="3" t="s">
        <v>89</v>
      </c>
      <c r="B40" s="3">
        <v>7.0</v>
      </c>
      <c r="C40" s="3" t="s">
        <v>53</v>
      </c>
      <c r="D40" s="3" t="s">
        <v>109</v>
      </c>
      <c r="E40" s="3" t="s">
        <v>109</v>
      </c>
      <c r="F40" s="3" t="s">
        <v>109</v>
      </c>
      <c r="G40" s="4" t="str">
        <f t="shared" si="1"/>
        <v>1</v>
      </c>
      <c r="H40" s="3" t="s">
        <v>53</v>
      </c>
      <c r="I40" s="4" t="str">
        <f t="shared" si="2"/>
        <v>0</v>
      </c>
      <c r="J40" s="3" t="s">
        <v>109</v>
      </c>
      <c r="K40" s="4" t="str">
        <f t="shared" si="3"/>
        <v>1</v>
      </c>
      <c r="L40" s="3" t="s">
        <v>109</v>
      </c>
      <c r="M40" s="4" t="str">
        <f t="shared" si="4"/>
        <v>1</v>
      </c>
      <c r="N40" s="3" t="s">
        <v>109</v>
      </c>
      <c r="O40" s="4" t="str">
        <f t="shared" si="5"/>
        <v>1</v>
      </c>
      <c r="P40" s="3" t="s">
        <v>109</v>
      </c>
      <c r="Q40" s="4" t="str">
        <f t="shared" si="6"/>
        <v>1</v>
      </c>
      <c r="R40" s="3" t="s">
        <v>109</v>
      </c>
      <c r="S40" s="4" t="str">
        <f t="shared" si="7"/>
        <v>1</v>
      </c>
      <c r="T40" s="3" t="s">
        <v>109</v>
      </c>
      <c r="U40" s="4" t="str">
        <f t="shared" si="8"/>
        <v>1</v>
      </c>
    </row>
    <row r="41">
      <c r="A41" s="3" t="s">
        <v>89</v>
      </c>
      <c r="B41" s="3">
        <v>8.0</v>
      </c>
      <c r="C41" s="3" t="s">
        <v>34</v>
      </c>
      <c r="D41" s="3" t="s">
        <v>41</v>
      </c>
      <c r="E41" s="3" t="s">
        <v>34</v>
      </c>
      <c r="F41" s="3" t="s">
        <v>41</v>
      </c>
      <c r="G41" s="4" t="str">
        <f t="shared" si="1"/>
        <v>0</v>
      </c>
      <c r="H41" s="3" t="s">
        <v>41</v>
      </c>
      <c r="I41" s="4" t="str">
        <f t="shared" si="2"/>
        <v>0</v>
      </c>
      <c r="J41" s="3" t="s">
        <v>34</v>
      </c>
      <c r="K41" s="4" t="str">
        <f t="shared" si="3"/>
        <v>1</v>
      </c>
      <c r="L41" s="3" t="s">
        <v>34</v>
      </c>
      <c r="M41" s="4" t="str">
        <f t="shared" si="4"/>
        <v>1</v>
      </c>
      <c r="N41" s="3" t="s">
        <v>34</v>
      </c>
      <c r="O41" s="4" t="str">
        <f t="shared" si="5"/>
        <v>1</v>
      </c>
      <c r="P41" s="3" t="s">
        <v>34</v>
      </c>
      <c r="Q41" s="4" t="str">
        <f t="shared" si="6"/>
        <v>1</v>
      </c>
      <c r="R41" s="3" t="s">
        <v>41</v>
      </c>
      <c r="S41" s="4" t="str">
        <f t="shared" si="7"/>
        <v>0</v>
      </c>
      <c r="T41" s="3" t="s">
        <v>41</v>
      </c>
      <c r="U41" s="4" t="str">
        <f t="shared" si="8"/>
        <v>0</v>
      </c>
    </row>
    <row r="42">
      <c r="A42" s="3" t="s">
        <v>89</v>
      </c>
      <c r="B42" s="3">
        <v>9.0</v>
      </c>
      <c r="C42" s="3" t="s">
        <v>59</v>
      </c>
      <c r="D42" s="3" t="s">
        <v>87</v>
      </c>
      <c r="E42" s="3" t="s">
        <v>59</v>
      </c>
      <c r="F42" s="3" t="s">
        <v>59</v>
      </c>
      <c r="G42" s="4" t="str">
        <f t="shared" si="1"/>
        <v>1</v>
      </c>
      <c r="H42" s="3" t="s">
        <v>59</v>
      </c>
      <c r="I42" s="4" t="str">
        <f t="shared" si="2"/>
        <v>1</v>
      </c>
      <c r="J42" s="3" t="s">
        <v>87</v>
      </c>
      <c r="K42" s="4" t="str">
        <f t="shared" si="3"/>
        <v>0</v>
      </c>
      <c r="L42" s="3" t="s">
        <v>87</v>
      </c>
      <c r="M42" s="4" t="str">
        <f t="shared" si="4"/>
        <v>0</v>
      </c>
      <c r="N42" s="3" t="s">
        <v>87</v>
      </c>
      <c r="O42" s="4" t="str">
        <f t="shared" si="5"/>
        <v>0</v>
      </c>
      <c r="P42" s="3" t="s">
        <v>77</v>
      </c>
      <c r="Q42" s="4" t="str">
        <f t="shared" si="6"/>
        <v>0</v>
      </c>
      <c r="R42" s="3" t="s">
        <v>59</v>
      </c>
      <c r="S42" s="4" t="str">
        <f t="shared" si="7"/>
        <v>1</v>
      </c>
      <c r="T42" s="3" t="s">
        <v>59</v>
      </c>
      <c r="U42" s="4" t="str">
        <f t="shared" si="8"/>
        <v>1</v>
      </c>
    </row>
    <row r="43">
      <c r="A43" s="3" t="s">
        <v>89</v>
      </c>
      <c r="B43" s="3">
        <v>10.0</v>
      </c>
      <c r="C43" s="3" t="s">
        <v>86</v>
      </c>
      <c r="D43" s="3" t="s">
        <v>44</v>
      </c>
      <c r="E43" s="3" t="s">
        <v>86</v>
      </c>
      <c r="F43" s="3" t="s">
        <v>44</v>
      </c>
      <c r="G43" s="4" t="str">
        <f t="shared" si="1"/>
        <v>0</v>
      </c>
      <c r="H43" s="3" t="s">
        <v>86</v>
      </c>
      <c r="I43" s="4" t="str">
        <f t="shared" si="2"/>
        <v>1</v>
      </c>
      <c r="J43" s="3" t="s">
        <v>44</v>
      </c>
      <c r="K43" s="4" t="str">
        <f t="shared" si="3"/>
        <v>0</v>
      </c>
      <c r="L43" s="3" t="s">
        <v>44</v>
      </c>
      <c r="M43" s="4" t="str">
        <f t="shared" si="4"/>
        <v>0</v>
      </c>
      <c r="N43" s="3" t="s">
        <v>44</v>
      </c>
      <c r="O43" s="4" t="str">
        <f t="shared" si="5"/>
        <v>0</v>
      </c>
      <c r="P43" s="3" t="s">
        <v>44</v>
      </c>
      <c r="Q43" s="4" t="str">
        <f t="shared" si="6"/>
        <v>0</v>
      </c>
      <c r="R43" s="3" t="s">
        <v>86</v>
      </c>
      <c r="S43" s="4" t="str">
        <f t="shared" si="7"/>
        <v>1</v>
      </c>
      <c r="T43" s="3" t="s">
        <v>44</v>
      </c>
      <c r="U43" s="4" t="str">
        <f t="shared" si="8"/>
        <v>0</v>
      </c>
    </row>
    <row r="44">
      <c r="A44" s="3" t="s">
        <v>89</v>
      </c>
      <c r="B44" s="3">
        <v>11.0</v>
      </c>
      <c r="C44" s="3" t="s">
        <v>113</v>
      </c>
      <c r="D44" s="3" t="s">
        <v>114</v>
      </c>
      <c r="E44" s="3" t="s">
        <v>114</v>
      </c>
      <c r="F44" s="3" t="s">
        <v>82</v>
      </c>
      <c r="G44" s="4" t="str">
        <f t="shared" si="1"/>
        <v>0</v>
      </c>
      <c r="H44" s="3" t="s">
        <v>114</v>
      </c>
      <c r="I44" s="4" t="str">
        <f t="shared" si="2"/>
        <v>1</v>
      </c>
      <c r="J44" s="3" t="s">
        <v>82</v>
      </c>
      <c r="K44" s="4" t="str">
        <f t="shared" si="3"/>
        <v>0</v>
      </c>
      <c r="L44" s="3" t="s">
        <v>82</v>
      </c>
      <c r="M44" s="4" t="str">
        <f t="shared" si="4"/>
        <v>0</v>
      </c>
      <c r="N44" s="3" t="s">
        <v>82</v>
      </c>
      <c r="O44" s="4" t="str">
        <f t="shared" si="5"/>
        <v>0</v>
      </c>
      <c r="P44" s="3" t="s">
        <v>82</v>
      </c>
      <c r="Q44" s="4" t="str">
        <f t="shared" si="6"/>
        <v>0</v>
      </c>
      <c r="R44" s="3" t="s">
        <v>114</v>
      </c>
      <c r="S44" s="4" t="str">
        <f t="shared" si="7"/>
        <v>1</v>
      </c>
      <c r="T44" s="3" t="s">
        <v>114</v>
      </c>
      <c r="U44" s="4" t="str">
        <f t="shared" si="8"/>
        <v>1</v>
      </c>
    </row>
    <row r="45">
      <c r="A45" s="3" t="s">
        <v>89</v>
      </c>
      <c r="B45" s="3">
        <v>12.0</v>
      </c>
      <c r="C45" s="3" t="s">
        <v>117</v>
      </c>
      <c r="D45" s="3" t="s">
        <v>47</v>
      </c>
      <c r="E45" s="3" t="s">
        <v>47</v>
      </c>
      <c r="F45" s="3" t="s">
        <v>47</v>
      </c>
      <c r="G45" s="4" t="str">
        <f t="shared" si="1"/>
        <v>1</v>
      </c>
      <c r="H45" s="3" t="s">
        <v>47</v>
      </c>
      <c r="I45" s="4" t="str">
        <f t="shared" si="2"/>
        <v>1</v>
      </c>
      <c r="J45" s="3" t="s">
        <v>47</v>
      </c>
      <c r="K45" s="4" t="str">
        <f t="shared" si="3"/>
        <v>1</v>
      </c>
      <c r="L45" s="3" t="s">
        <v>47</v>
      </c>
      <c r="M45" s="4" t="str">
        <f t="shared" si="4"/>
        <v>1</v>
      </c>
      <c r="N45" s="3" t="s">
        <v>47</v>
      </c>
      <c r="O45" s="4" t="str">
        <f t="shared" si="5"/>
        <v>1</v>
      </c>
      <c r="P45" s="3" t="s">
        <v>47</v>
      </c>
      <c r="Q45" s="4" t="str">
        <f t="shared" si="6"/>
        <v>1</v>
      </c>
      <c r="R45" s="3" t="s">
        <v>47</v>
      </c>
      <c r="S45" s="4" t="str">
        <f t="shared" si="7"/>
        <v>1</v>
      </c>
      <c r="T45" s="3" t="s">
        <v>47</v>
      </c>
      <c r="U45" s="4" t="str">
        <f t="shared" si="8"/>
        <v>1</v>
      </c>
    </row>
    <row r="46">
      <c r="A46" s="3" t="s">
        <v>89</v>
      </c>
      <c r="B46" s="3">
        <v>13.0</v>
      </c>
      <c r="C46" s="3" t="s">
        <v>73</v>
      </c>
      <c r="D46" s="3" t="s">
        <v>28</v>
      </c>
      <c r="E46" s="3" t="s">
        <v>28</v>
      </c>
      <c r="F46" s="3" t="s">
        <v>73</v>
      </c>
      <c r="G46" s="4" t="str">
        <f t="shared" si="1"/>
        <v>0</v>
      </c>
      <c r="H46" s="3" t="s">
        <v>73</v>
      </c>
      <c r="I46" s="4" t="str">
        <f t="shared" si="2"/>
        <v>0</v>
      </c>
      <c r="J46" s="3" t="s">
        <v>73</v>
      </c>
      <c r="K46" s="4" t="str">
        <f t="shared" si="3"/>
        <v>0</v>
      </c>
      <c r="L46" s="3" t="s">
        <v>73</v>
      </c>
      <c r="M46" s="4" t="str">
        <f t="shared" si="4"/>
        <v>0</v>
      </c>
      <c r="N46" s="3" t="s">
        <v>73</v>
      </c>
      <c r="O46" s="4" t="str">
        <f t="shared" si="5"/>
        <v>0</v>
      </c>
      <c r="P46" s="3" t="s">
        <v>73</v>
      </c>
      <c r="Q46" s="4" t="str">
        <f t="shared" si="6"/>
        <v>0</v>
      </c>
      <c r="R46" s="3" t="s">
        <v>73</v>
      </c>
      <c r="S46" s="4" t="str">
        <f t="shared" si="7"/>
        <v>0</v>
      </c>
      <c r="T46" s="3" t="s">
        <v>73</v>
      </c>
      <c r="U46" s="4" t="str">
        <f t="shared" si="8"/>
        <v>0</v>
      </c>
    </row>
    <row r="47">
      <c r="A47" s="3" t="s">
        <v>89</v>
      </c>
      <c r="B47" s="3">
        <v>14.0</v>
      </c>
      <c r="C47" s="3" t="s">
        <v>43</v>
      </c>
      <c r="D47" s="3" t="s">
        <v>26</v>
      </c>
      <c r="E47" s="3" t="s">
        <v>26</v>
      </c>
      <c r="F47" s="3" t="s">
        <v>26</v>
      </c>
      <c r="G47" s="4" t="str">
        <f t="shared" si="1"/>
        <v>1</v>
      </c>
      <c r="H47" s="3" t="s">
        <v>43</v>
      </c>
      <c r="I47" s="4" t="str">
        <f t="shared" si="2"/>
        <v>0</v>
      </c>
      <c r="J47" s="3" t="s">
        <v>43</v>
      </c>
      <c r="K47" s="4" t="str">
        <f t="shared" si="3"/>
        <v>0</v>
      </c>
      <c r="L47" s="3" t="s">
        <v>26</v>
      </c>
      <c r="M47" s="4" t="str">
        <f t="shared" si="4"/>
        <v>1</v>
      </c>
      <c r="N47" s="3" t="s">
        <v>26</v>
      </c>
      <c r="O47" s="4" t="str">
        <f t="shared" si="5"/>
        <v>1</v>
      </c>
      <c r="P47" s="3" t="s">
        <v>26</v>
      </c>
      <c r="Q47" s="4" t="str">
        <f t="shared" si="6"/>
        <v>1</v>
      </c>
      <c r="R47" s="3" t="s">
        <v>26</v>
      </c>
      <c r="S47" s="4" t="str">
        <f t="shared" si="7"/>
        <v>1</v>
      </c>
      <c r="T47" s="3" t="s">
        <v>43</v>
      </c>
      <c r="U47" s="4" t="str">
        <f t="shared" si="8"/>
        <v>0</v>
      </c>
    </row>
    <row r="48">
      <c r="A48" s="3" t="s">
        <v>89</v>
      </c>
      <c r="B48" s="3">
        <v>15.0</v>
      </c>
      <c r="C48" s="3" t="s">
        <v>58</v>
      </c>
      <c r="D48" s="3" t="s">
        <v>22</v>
      </c>
      <c r="E48" s="3" t="s">
        <v>22</v>
      </c>
      <c r="F48" s="3" t="s">
        <v>22</v>
      </c>
      <c r="G48" s="4" t="str">
        <f t="shared" si="1"/>
        <v>1</v>
      </c>
      <c r="H48" s="3" t="s">
        <v>22</v>
      </c>
      <c r="I48" s="4" t="str">
        <f t="shared" si="2"/>
        <v>1</v>
      </c>
      <c r="J48" s="3" t="s">
        <v>58</v>
      </c>
      <c r="K48" s="4" t="str">
        <f t="shared" si="3"/>
        <v>0</v>
      </c>
      <c r="L48" s="3" t="s">
        <v>22</v>
      </c>
      <c r="M48" s="4" t="str">
        <f t="shared" si="4"/>
        <v>1</v>
      </c>
      <c r="N48" s="3" t="s">
        <v>58</v>
      </c>
      <c r="O48" s="4" t="str">
        <f t="shared" si="5"/>
        <v>0</v>
      </c>
      <c r="P48" s="3" t="s">
        <v>58</v>
      </c>
      <c r="Q48" s="4" t="str">
        <f t="shared" si="6"/>
        <v>0</v>
      </c>
      <c r="R48" s="3" t="s">
        <v>22</v>
      </c>
      <c r="S48" s="4" t="str">
        <f t="shared" si="7"/>
        <v>1</v>
      </c>
      <c r="T48" s="3" t="s">
        <v>22</v>
      </c>
      <c r="U48" s="4" t="str">
        <f t="shared" si="8"/>
        <v>1</v>
      </c>
    </row>
    <row r="49">
      <c r="A49" s="3" t="s">
        <v>89</v>
      </c>
      <c r="B49" s="3">
        <v>16.0</v>
      </c>
      <c r="C49" s="3" t="s">
        <v>123</v>
      </c>
      <c r="D49" s="3" t="s">
        <v>45</v>
      </c>
      <c r="E49" s="3" t="s">
        <v>45</v>
      </c>
      <c r="F49" s="3" t="s">
        <v>45</v>
      </c>
      <c r="G49" s="4" t="str">
        <f t="shared" si="1"/>
        <v>1</v>
      </c>
      <c r="H49" s="3" t="s">
        <v>45</v>
      </c>
      <c r="I49" s="4" t="str">
        <f t="shared" si="2"/>
        <v>1</v>
      </c>
      <c r="J49" s="3" t="s">
        <v>124</v>
      </c>
      <c r="K49" s="4" t="str">
        <f t="shared" si="3"/>
        <v>0</v>
      </c>
      <c r="L49" s="3" t="s">
        <v>45</v>
      </c>
      <c r="M49" s="4" t="str">
        <f t="shared" si="4"/>
        <v>1</v>
      </c>
      <c r="N49" s="3" t="s">
        <v>124</v>
      </c>
      <c r="O49" s="4" t="str">
        <f t="shared" si="5"/>
        <v>0</v>
      </c>
      <c r="P49" s="3" t="s">
        <v>45</v>
      </c>
      <c r="Q49" s="4" t="str">
        <f t="shared" si="6"/>
        <v>1</v>
      </c>
      <c r="R49" s="3" t="s">
        <v>45</v>
      </c>
      <c r="S49" s="4" t="str">
        <f t="shared" si="7"/>
        <v>1</v>
      </c>
      <c r="T49" s="3" t="s">
        <v>45</v>
      </c>
      <c r="U49" s="4" t="str">
        <f t="shared" si="8"/>
        <v>1</v>
      </c>
    </row>
    <row r="50">
      <c r="A50" s="3" t="s">
        <v>90</v>
      </c>
      <c r="B50" s="3">
        <v>1.0</v>
      </c>
      <c r="C50" s="3" t="s">
        <v>30</v>
      </c>
      <c r="D50" s="3" t="s">
        <v>75</v>
      </c>
      <c r="E50" s="3" t="s">
        <v>75</v>
      </c>
      <c r="F50" s="3" t="s">
        <v>30</v>
      </c>
      <c r="G50" s="4" t="str">
        <f t="shared" si="1"/>
        <v>0</v>
      </c>
      <c r="H50" s="3" t="s">
        <v>30</v>
      </c>
      <c r="I50" s="4" t="str">
        <f t="shared" si="2"/>
        <v>0</v>
      </c>
      <c r="J50" s="3" t="s">
        <v>96</v>
      </c>
      <c r="K50" s="4" t="str">
        <f t="shared" si="3"/>
        <v>0</v>
      </c>
      <c r="L50" s="3" t="s">
        <v>75</v>
      </c>
      <c r="M50" s="4" t="str">
        <f t="shared" si="4"/>
        <v>1</v>
      </c>
      <c r="N50" s="3" t="s">
        <v>30</v>
      </c>
      <c r="O50" s="4" t="str">
        <f t="shared" si="5"/>
        <v>0</v>
      </c>
      <c r="P50" s="3" t="s">
        <v>30</v>
      </c>
      <c r="Q50" s="4" t="str">
        <f t="shared" si="6"/>
        <v>0</v>
      </c>
      <c r="R50" s="3" t="s">
        <v>30</v>
      </c>
      <c r="S50" s="4" t="str">
        <f t="shared" si="7"/>
        <v>0</v>
      </c>
      <c r="T50" s="3" t="s">
        <v>30</v>
      </c>
      <c r="U50" s="4" t="str">
        <f t="shared" si="8"/>
        <v>0</v>
      </c>
    </row>
    <row r="51">
      <c r="A51" s="3" t="s">
        <v>90</v>
      </c>
      <c r="B51" s="3">
        <v>2.0</v>
      </c>
      <c r="C51" s="3" t="s">
        <v>76</v>
      </c>
      <c r="D51" s="3" t="s">
        <v>104</v>
      </c>
      <c r="E51" s="3" t="s">
        <v>76</v>
      </c>
      <c r="F51" s="3" t="s">
        <v>55</v>
      </c>
      <c r="G51" s="4" t="str">
        <f t="shared" si="1"/>
        <v>0</v>
      </c>
      <c r="H51" s="3" t="s">
        <v>55</v>
      </c>
      <c r="I51" s="4" t="str">
        <f t="shared" si="2"/>
        <v>0</v>
      </c>
      <c r="J51" s="3" t="s">
        <v>38</v>
      </c>
      <c r="K51" s="4" t="str">
        <f t="shared" si="3"/>
        <v>0</v>
      </c>
      <c r="L51" s="3" t="s">
        <v>38</v>
      </c>
      <c r="M51" s="4" t="str">
        <f t="shared" si="4"/>
        <v>0</v>
      </c>
      <c r="N51" s="3" t="s">
        <v>38</v>
      </c>
      <c r="O51" s="4" t="str">
        <f t="shared" si="5"/>
        <v>0</v>
      </c>
      <c r="P51" s="3" t="s">
        <v>38</v>
      </c>
      <c r="Q51" s="4" t="str">
        <f t="shared" si="6"/>
        <v>0</v>
      </c>
      <c r="R51" s="3" t="s">
        <v>55</v>
      </c>
      <c r="S51" s="4" t="str">
        <f t="shared" si="7"/>
        <v>0</v>
      </c>
      <c r="T51" s="3" t="s">
        <v>38</v>
      </c>
      <c r="U51" s="4" t="str">
        <f t="shared" si="8"/>
        <v>0</v>
      </c>
    </row>
    <row r="52">
      <c r="A52" s="3" t="s">
        <v>90</v>
      </c>
      <c r="B52" s="3">
        <v>3.0</v>
      </c>
      <c r="C52" s="3" t="s">
        <v>106</v>
      </c>
      <c r="D52" s="3" t="s">
        <v>66</v>
      </c>
      <c r="E52" s="3" t="s">
        <v>106</v>
      </c>
      <c r="F52" s="3" t="s">
        <v>66</v>
      </c>
      <c r="G52" s="4" t="str">
        <f t="shared" si="1"/>
        <v>0</v>
      </c>
      <c r="H52" s="3" t="s">
        <v>49</v>
      </c>
      <c r="I52" s="4" t="str">
        <f t="shared" si="2"/>
        <v>0</v>
      </c>
      <c r="J52" s="3" t="s">
        <v>49</v>
      </c>
      <c r="K52" s="4" t="str">
        <f t="shared" si="3"/>
        <v>0</v>
      </c>
      <c r="L52" s="3" t="s">
        <v>49</v>
      </c>
      <c r="M52" s="4" t="str">
        <f t="shared" si="4"/>
        <v>0</v>
      </c>
      <c r="N52" s="3" t="s">
        <v>49</v>
      </c>
      <c r="O52" s="4" t="str">
        <f t="shared" si="5"/>
        <v>0</v>
      </c>
      <c r="P52" s="3" t="s">
        <v>49</v>
      </c>
      <c r="Q52" s="4" t="str">
        <f t="shared" si="6"/>
        <v>0</v>
      </c>
      <c r="R52" s="3" t="s">
        <v>49</v>
      </c>
      <c r="S52" s="4" t="str">
        <f t="shared" si="7"/>
        <v>0</v>
      </c>
      <c r="T52" s="3" t="s">
        <v>49</v>
      </c>
      <c r="U52" s="4" t="str">
        <f t="shared" si="8"/>
        <v>0</v>
      </c>
    </row>
    <row r="53">
      <c r="A53" s="3" t="s">
        <v>90</v>
      </c>
      <c r="B53" s="3">
        <v>4.0</v>
      </c>
      <c r="C53" s="3" t="s">
        <v>109</v>
      </c>
      <c r="D53" s="3" t="s">
        <v>34</v>
      </c>
      <c r="E53" s="3" t="s">
        <v>109</v>
      </c>
      <c r="F53" s="3" t="s">
        <v>41</v>
      </c>
      <c r="G53" s="4" t="str">
        <f t="shared" si="1"/>
        <v>0</v>
      </c>
      <c r="H53" s="3" t="s">
        <v>41</v>
      </c>
      <c r="I53" s="4" t="str">
        <f t="shared" si="2"/>
        <v>0</v>
      </c>
      <c r="J53" s="3" t="s">
        <v>34</v>
      </c>
      <c r="K53" s="4" t="str">
        <f t="shared" si="3"/>
        <v>0</v>
      </c>
      <c r="L53" s="3" t="s">
        <v>34</v>
      </c>
      <c r="M53" s="4" t="str">
        <f t="shared" si="4"/>
        <v>0</v>
      </c>
      <c r="N53" s="3" t="s">
        <v>34</v>
      </c>
      <c r="O53" s="4" t="str">
        <f t="shared" si="5"/>
        <v>0</v>
      </c>
      <c r="P53" s="3" t="s">
        <v>109</v>
      </c>
      <c r="Q53" s="4" t="str">
        <f t="shared" si="6"/>
        <v>1</v>
      </c>
      <c r="R53" s="3" t="s">
        <v>41</v>
      </c>
      <c r="S53" s="4" t="str">
        <f t="shared" si="7"/>
        <v>0</v>
      </c>
      <c r="T53" s="3" t="s">
        <v>41</v>
      </c>
      <c r="U53" s="4" t="str">
        <f t="shared" si="8"/>
        <v>0</v>
      </c>
    </row>
    <row r="54">
      <c r="A54" s="3" t="s">
        <v>90</v>
      </c>
      <c r="B54" s="3">
        <v>5.0</v>
      </c>
      <c r="C54" s="3" t="s">
        <v>59</v>
      </c>
      <c r="D54" s="3" t="s">
        <v>86</v>
      </c>
      <c r="E54" s="3" t="s">
        <v>86</v>
      </c>
      <c r="F54" s="3" t="s">
        <v>59</v>
      </c>
      <c r="G54" s="4" t="str">
        <f t="shared" si="1"/>
        <v>0</v>
      </c>
      <c r="H54" s="3" t="s">
        <v>59</v>
      </c>
      <c r="I54" s="4" t="str">
        <f t="shared" si="2"/>
        <v>0</v>
      </c>
      <c r="J54" s="3" t="s">
        <v>87</v>
      </c>
      <c r="K54" s="4" t="str">
        <f t="shared" si="3"/>
        <v>0</v>
      </c>
      <c r="L54" s="3" t="s">
        <v>44</v>
      </c>
      <c r="M54" s="4" t="str">
        <f t="shared" si="4"/>
        <v>0</v>
      </c>
      <c r="N54" s="3" t="s">
        <v>44</v>
      </c>
      <c r="O54" s="4" t="str">
        <f t="shared" si="5"/>
        <v>0</v>
      </c>
      <c r="P54" s="3" t="s">
        <v>44</v>
      </c>
      <c r="Q54" s="4" t="str">
        <f t="shared" si="6"/>
        <v>0</v>
      </c>
      <c r="R54" s="3" t="s">
        <v>59</v>
      </c>
      <c r="S54" s="4" t="str">
        <f t="shared" si="7"/>
        <v>0</v>
      </c>
      <c r="T54" s="3" t="s">
        <v>59</v>
      </c>
      <c r="U54" s="4" t="str">
        <f t="shared" si="8"/>
        <v>0</v>
      </c>
    </row>
    <row r="55">
      <c r="A55" s="3" t="s">
        <v>90</v>
      </c>
      <c r="B55" s="3">
        <v>6.0</v>
      </c>
      <c r="C55" s="3" t="s">
        <v>114</v>
      </c>
      <c r="D55" s="3" t="s">
        <v>47</v>
      </c>
      <c r="E55" s="3" t="s">
        <v>47</v>
      </c>
      <c r="F55" s="3" t="s">
        <v>47</v>
      </c>
      <c r="G55" s="4" t="str">
        <f t="shared" si="1"/>
        <v>1</v>
      </c>
      <c r="H55" s="3" t="s">
        <v>47</v>
      </c>
      <c r="I55" s="4" t="str">
        <f t="shared" si="2"/>
        <v>1</v>
      </c>
      <c r="J55" s="3" t="s">
        <v>47</v>
      </c>
      <c r="K55" s="4" t="str">
        <f t="shared" si="3"/>
        <v>1</v>
      </c>
      <c r="L55" s="3" t="s">
        <v>82</v>
      </c>
      <c r="M55" s="4" t="str">
        <f t="shared" si="4"/>
        <v>0</v>
      </c>
      <c r="N55" s="3" t="s">
        <v>82</v>
      </c>
      <c r="O55" s="4" t="str">
        <f t="shared" si="5"/>
        <v>0</v>
      </c>
      <c r="P55" s="3" t="s">
        <v>47</v>
      </c>
      <c r="Q55" s="4" t="str">
        <f t="shared" si="6"/>
        <v>1</v>
      </c>
      <c r="R55" s="3" t="s">
        <v>47</v>
      </c>
      <c r="S55" s="4" t="str">
        <f t="shared" si="7"/>
        <v>1</v>
      </c>
      <c r="T55" s="3" t="s">
        <v>114</v>
      </c>
      <c r="U55" s="4" t="str">
        <f t="shared" si="8"/>
        <v>0</v>
      </c>
    </row>
    <row r="56">
      <c r="A56" s="3" t="s">
        <v>90</v>
      </c>
      <c r="B56" s="3">
        <v>7.0</v>
      </c>
      <c r="C56" s="3" t="s">
        <v>28</v>
      </c>
      <c r="D56" s="3" t="s">
        <v>26</v>
      </c>
      <c r="E56" s="3" t="s">
        <v>26</v>
      </c>
      <c r="F56" s="3" t="s">
        <v>26</v>
      </c>
      <c r="G56" s="4" t="str">
        <f t="shared" si="1"/>
        <v>1</v>
      </c>
      <c r="H56" s="3" t="s">
        <v>43</v>
      </c>
      <c r="I56" s="4" t="str">
        <f t="shared" si="2"/>
        <v>0</v>
      </c>
      <c r="J56" s="3" t="s">
        <v>73</v>
      </c>
      <c r="K56" s="4" t="str">
        <f t="shared" si="3"/>
        <v>0</v>
      </c>
      <c r="L56" s="3" t="s">
        <v>73</v>
      </c>
      <c r="M56" s="4" t="str">
        <f t="shared" si="4"/>
        <v>0</v>
      </c>
      <c r="N56" s="3" t="s">
        <v>73</v>
      </c>
      <c r="O56" s="4" t="str">
        <f t="shared" si="5"/>
        <v>0</v>
      </c>
      <c r="P56" s="3" t="s">
        <v>73</v>
      </c>
      <c r="Q56" s="4" t="str">
        <f t="shared" si="6"/>
        <v>0</v>
      </c>
      <c r="R56" s="3" t="s">
        <v>73</v>
      </c>
      <c r="S56" s="4" t="str">
        <f t="shared" si="7"/>
        <v>0</v>
      </c>
      <c r="T56" s="3" t="s">
        <v>73</v>
      </c>
      <c r="U56" s="4" t="str">
        <f t="shared" si="8"/>
        <v>0</v>
      </c>
    </row>
    <row r="57">
      <c r="A57" s="3" t="s">
        <v>90</v>
      </c>
      <c r="B57" s="3">
        <v>8.0</v>
      </c>
      <c r="C57" s="3" t="s">
        <v>22</v>
      </c>
      <c r="D57" s="3" t="s">
        <v>45</v>
      </c>
      <c r="E57" s="3" t="s">
        <v>22</v>
      </c>
      <c r="F57" s="3" t="s">
        <v>45</v>
      </c>
      <c r="G57" s="4" t="str">
        <f t="shared" si="1"/>
        <v>0</v>
      </c>
      <c r="H57" s="3" t="s">
        <v>22</v>
      </c>
      <c r="I57" s="4" t="str">
        <f t="shared" si="2"/>
        <v>1</v>
      </c>
      <c r="J57" s="3" t="s">
        <v>124</v>
      </c>
      <c r="K57" s="4" t="str">
        <f t="shared" si="3"/>
        <v>0</v>
      </c>
      <c r="L57" s="3" t="s">
        <v>45</v>
      </c>
      <c r="M57" s="4" t="str">
        <f t="shared" si="4"/>
        <v>0</v>
      </c>
      <c r="N57" s="3" t="s">
        <v>58</v>
      </c>
      <c r="O57" s="4" t="str">
        <f t="shared" si="5"/>
        <v>0</v>
      </c>
      <c r="P57" s="3" t="s">
        <v>58</v>
      </c>
      <c r="Q57" s="4" t="str">
        <f t="shared" si="6"/>
        <v>0</v>
      </c>
      <c r="R57" s="3" t="s">
        <v>45</v>
      </c>
      <c r="S57" s="4" t="str">
        <f t="shared" si="7"/>
        <v>0</v>
      </c>
      <c r="T57" s="3" t="s">
        <v>22</v>
      </c>
      <c r="U57" s="4" t="str">
        <f t="shared" si="8"/>
        <v>1</v>
      </c>
    </row>
    <row r="58">
      <c r="A58" s="3" t="s">
        <v>91</v>
      </c>
      <c r="B58" s="3">
        <v>1.0</v>
      </c>
      <c r="C58" s="3" t="s">
        <v>75</v>
      </c>
      <c r="D58" s="3" t="s">
        <v>76</v>
      </c>
      <c r="E58" s="3" t="s">
        <v>75</v>
      </c>
      <c r="F58" s="3" t="s">
        <v>30</v>
      </c>
      <c r="G58" s="4" t="str">
        <f t="shared" si="1"/>
        <v>0</v>
      </c>
      <c r="H58" s="3" t="s">
        <v>30</v>
      </c>
      <c r="I58" s="4" t="str">
        <f t="shared" si="2"/>
        <v>0</v>
      </c>
      <c r="J58" s="3" t="s">
        <v>96</v>
      </c>
      <c r="K58" s="4" t="str">
        <f t="shared" si="3"/>
        <v>0</v>
      </c>
      <c r="L58" s="3" t="s">
        <v>75</v>
      </c>
      <c r="M58" s="4" t="str">
        <f t="shared" si="4"/>
        <v>1</v>
      </c>
      <c r="N58" s="3" t="s">
        <v>38</v>
      </c>
      <c r="O58" s="4" t="str">
        <f t="shared" si="5"/>
        <v>0</v>
      </c>
      <c r="P58" s="3" t="s">
        <v>30</v>
      </c>
      <c r="Q58" s="4" t="str">
        <f t="shared" si="6"/>
        <v>0</v>
      </c>
      <c r="R58" s="3" t="s">
        <v>30</v>
      </c>
      <c r="S58" s="4" t="str">
        <f t="shared" si="7"/>
        <v>0</v>
      </c>
      <c r="T58" s="3" t="s">
        <v>30</v>
      </c>
      <c r="U58" s="4" t="str">
        <f t="shared" si="8"/>
        <v>0</v>
      </c>
    </row>
    <row r="59">
      <c r="A59" s="3" t="s">
        <v>91</v>
      </c>
      <c r="B59" s="3">
        <v>2.0</v>
      </c>
      <c r="C59" s="3" t="s">
        <v>106</v>
      </c>
      <c r="D59" s="3" t="s">
        <v>109</v>
      </c>
      <c r="E59" s="3" t="s">
        <v>106</v>
      </c>
      <c r="F59" s="3" t="s">
        <v>66</v>
      </c>
      <c r="G59" s="4" t="str">
        <f t="shared" si="1"/>
        <v>0</v>
      </c>
      <c r="H59" s="3" t="s">
        <v>49</v>
      </c>
      <c r="I59" s="4" t="str">
        <f t="shared" si="2"/>
        <v>0</v>
      </c>
      <c r="J59" s="3" t="s">
        <v>34</v>
      </c>
      <c r="K59" s="4" t="str">
        <f t="shared" si="3"/>
        <v>0</v>
      </c>
      <c r="L59" s="3" t="s">
        <v>34</v>
      </c>
      <c r="M59" s="4" t="str">
        <f t="shared" si="4"/>
        <v>0</v>
      </c>
      <c r="N59" s="3" t="s">
        <v>34</v>
      </c>
      <c r="O59" s="4" t="str">
        <f t="shared" si="5"/>
        <v>0</v>
      </c>
      <c r="P59" s="3" t="s">
        <v>49</v>
      </c>
      <c r="Q59" s="4" t="str">
        <f t="shared" si="6"/>
        <v>0</v>
      </c>
      <c r="R59" s="3" t="s">
        <v>49</v>
      </c>
      <c r="S59" s="4" t="str">
        <f t="shared" si="7"/>
        <v>0</v>
      </c>
      <c r="T59" s="3" t="s">
        <v>41</v>
      </c>
      <c r="U59" s="4" t="str">
        <f t="shared" si="8"/>
        <v>0</v>
      </c>
    </row>
    <row r="60">
      <c r="A60" s="3" t="s">
        <v>91</v>
      </c>
      <c r="B60" s="3">
        <v>3.0</v>
      </c>
      <c r="C60" s="3" t="s">
        <v>86</v>
      </c>
      <c r="D60" s="3" t="s">
        <v>47</v>
      </c>
      <c r="E60" s="3" t="s">
        <v>86</v>
      </c>
      <c r="F60" s="3" t="s">
        <v>59</v>
      </c>
      <c r="G60" s="4" t="str">
        <f t="shared" si="1"/>
        <v>0</v>
      </c>
      <c r="H60" s="3" t="s">
        <v>59</v>
      </c>
      <c r="I60" s="4" t="str">
        <f t="shared" si="2"/>
        <v>0</v>
      </c>
      <c r="J60" s="3" t="s">
        <v>47</v>
      </c>
      <c r="K60" s="4" t="str">
        <f t="shared" si="3"/>
        <v>0</v>
      </c>
      <c r="L60" s="3" t="s">
        <v>44</v>
      </c>
      <c r="M60" s="4" t="str">
        <f t="shared" si="4"/>
        <v>0</v>
      </c>
      <c r="N60" s="3" t="s">
        <v>82</v>
      </c>
      <c r="O60" s="4" t="str">
        <f t="shared" si="5"/>
        <v>0</v>
      </c>
      <c r="P60" s="3" t="s">
        <v>44</v>
      </c>
      <c r="Q60" s="4" t="str">
        <f t="shared" si="6"/>
        <v>0</v>
      </c>
      <c r="R60" s="3" t="s">
        <v>59</v>
      </c>
      <c r="S60" s="4" t="str">
        <f t="shared" si="7"/>
        <v>0</v>
      </c>
      <c r="T60" s="3" t="s">
        <v>114</v>
      </c>
      <c r="U60" s="4" t="str">
        <f t="shared" si="8"/>
        <v>0</v>
      </c>
    </row>
    <row r="61">
      <c r="A61" s="3" t="s">
        <v>91</v>
      </c>
      <c r="B61" s="3">
        <v>4.0</v>
      </c>
      <c r="C61" s="3" t="s">
        <v>26</v>
      </c>
      <c r="D61" s="3" t="s">
        <v>22</v>
      </c>
      <c r="E61" s="3" t="s">
        <v>26</v>
      </c>
      <c r="F61" s="3" t="s">
        <v>45</v>
      </c>
      <c r="G61" s="4" t="str">
        <f t="shared" si="1"/>
        <v>0</v>
      </c>
      <c r="H61" s="3" t="s">
        <v>43</v>
      </c>
      <c r="I61" s="4" t="str">
        <f t="shared" si="2"/>
        <v>0</v>
      </c>
      <c r="J61" s="3" t="s">
        <v>73</v>
      </c>
      <c r="K61" s="4" t="str">
        <f t="shared" si="3"/>
        <v>0</v>
      </c>
      <c r="L61" s="3" t="s">
        <v>73</v>
      </c>
      <c r="M61" s="4" t="str">
        <f t="shared" si="4"/>
        <v>0</v>
      </c>
      <c r="N61" s="3" t="s">
        <v>73</v>
      </c>
      <c r="O61" s="4" t="str">
        <f t="shared" si="5"/>
        <v>0</v>
      </c>
      <c r="P61" s="3" t="s">
        <v>73</v>
      </c>
      <c r="Q61" s="4" t="str">
        <f t="shared" si="6"/>
        <v>0</v>
      </c>
      <c r="R61" s="3" t="s">
        <v>73</v>
      </c>
      <c r="S61" s="4" t="str">
        <f t="shared" si="7"/>
        <v>0</v>
      </c>
      <c r="T61" s="3" t="s">
        <v>73</v>
      </c>
      <c r="U61" s="4" t="str">
        <f t="shared" si="8"/>
        <v>0</v>
      </c>
    </row>
    <row r="62">
      <c r="A62" s="3" t="s">
        <v>92</v>
      </c>
      <c r="B62" s="3">
        <v>1.0</v>
      </c>
      <c r="C62" s="3" t="s">
        <v>75</v>
      </c>
      <c r="D62" s="3" t="s">
        <v>106</v>
      </c>
      <c r="E62" s="3" t="s">
        <v>75</v>
      </c>
      <c r="F62" s="3" t="s">
        <v>30</v>
      </c>
      <c r="G62" s="4" t="str">
        <f t="shared" si="1"/>
        <v>0</v>
      </c>
      <c r="H62" s="3" t="s">
        <v>49</v>
      </c>
      <c r="I62" s="4" t="str">
        <f t="shared" si="2"/>
        <v>0</v>
      </c>
      <c r="J62" s="3" t="s">
        <v>96</v>
      </c>
      <c r="K62" s="4" t="str">
        <f t="shared" si="3"/>
        <v>0</v>
      </c>
      <c r="L62" s="3" t="s">
        <v>34</v>
      </c>
      <c r="M62" s="4" t="str">
        <f t="shared" si="4"/>
        <v>0</v>
      </c>
      <c r="N62" s="3" t="s">
        <v>38</v>
      </c>
      <c r="O62" s="4" t="str">
        <f t="shared" si="5"/>
        <v>0</v>
      </c>
      <c r="P62" s="3" t="s">
        <v>30</v>
      </c>
      <c r="Q62" s="4" t="str">
        <f t="shared" si="6"/>
        <v>0</v>
      </c>
      <c r="R62" s="3" t="s">
        <v>30</v>
      </c>
      <c r="S62" s="4" t="str">
        <f t="shared" si="7"/>
        <v>0</v>
      </c>
      <c r="T62" s="3" t="s">
        <v>41</v>
      </c>
      <c r="U62" s="4" t="str">
        <f t="shared" si="8"/>
        <v>0</v>
      </c>
    </row>
    <row r="63">
      <c r="A63" s="3" t="s">
        <v>92</v>
      </c>
      <c r="B63" s="3">
        <v>2.0</v>
      </c>
      <c r="C63" s="3" t="s">
        <v>86</v>
      </c>
      <c r="D63" s="3" t="s">
        <v>26</v>
      </c>
      <c r="E63" s="3" t="s">
        <v>26</v>
      </c>
      <c r="F63" s="3" t="s">
        <v>59</v>
      </c>
      <c r="G63" s="4" t="str">
        <f t="shared" si="1"/>
        <v>0</v>
      </c>
      <c r="H63" s="3" t="s">
        <v>59</v>
      </c>
      <c r="I63" s="4" t="str">
        <f t="shared" si="2"/>
        <v>0</v>
      </c>
      <c r="J63" s="3" t="s">
        <v>73</v>
      </c>
      <c r="K63" s="4" t="str">
        <f t="shared" si="3"/>
        <v>0</v>
      </c>
      <c r="L63" s="3" t="s">
        <v>73</v>
      </c>
      <c r="M63" s="4" t="str">
        <f t="shared" si="4"/>
        <v>0</v>
      </c>
      <c r="N63" s="3" t="s">
        <v>73</v>
      </c>
      <c r="O63" s="4" t="str">
        <f t="shared" si="5"/>
        <v>0</v>
      </c>
      <c r="P63" s="3" t="s">
        <v>73</v>
      </c>
      <c r="Q63" s="4" t="str">
        <f t="shared" si="6"/>
        <v>0</v>
      </c>
      <c r="R63" s="3" t="s">
        <v>73</v>
      </c>
      <c r="S63" s="4" t="str">
        <f t="shared" si="7"/>
        <v>0</v>
      </c>
      <c r="T63" s="3" t="s">
        <v>73</v>
      </c>
      <c r="U63" s="4" t="str">
        <f t="shared" si="8"/>
        <v>0</v>
      </c>
    </row>
    <row r="64">
      <c r="A64" s="3" t="s">
        <v>93</v>
      </c>
      <c r="B64" s="3">
        <v>1.0</v>
      </c>
      <c r="C64" s="3" t="s">
        <v>75</v>
      </c>
      <c r="D64" s="3" t="s">
        <v>26</v>
      </c>
      <c r="E64" s="3" t="s">
        <v>26</v>
      </c>
      <c r="F64" s="3" t="s">
        <v>59</v>
      </c>
      <c r="G64" s="4" t="str">
        <f t="shared" si="1"/>
        <v>0</v>
      </c>
      <c r="H64" s="3" t="s">
        <v>49</v>
      </c>
      <c r="I64" s="4" t="str">
        <f t="shared" si="2"/>
        <v>0</v>
      </c>
      <c r="J64" s="3" t="s">
        <v>73</v>
      </c>
      <c r="K64" s="4" t="str">
        <f t="shared" si="3"/>
        <v>0</v>
      </c>
      <c r="L64" s="3" t="s">
        <v>34</v>
      </c>
      <c r="M64" s="4" t="str">
        <f t="shared" si="4"/>
        <v>0</v>
      </c>
      <c r="N64" s="3" t="s">
        <v>73</v>
      </c>
      <c r="O64" s="4" t="str">
        <f t="shared" si="5"/>
        <v>0</v>
      </c>
      <c r="P64" s="3" t="s">
        <v>73</v>
      </c>
      <c r="Q64" s="4" t="str">
        <f t="shared" si="6"/>
        <v>0</v>
      </c>
      <c r="R64" s="3" t="s">
        <v>73</v>
      </c>
      <c r="S64" s="4" t="str">
        <f t="shared" si="7"/>
        <v>0</v>
      </c>
      <c r="T64" s="3" t="s">
        <v>41</v>
      </c>
      <c r="U64" s="4" t="str">
        <f t="shared" si="8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hidden="1" min="1" max="2" width="12.63"/>
    <col customWidth="1" min="3" max="3" width="14.63"/>
    <col customWidth="1" min="4" max="4" width="15.5"/>
    <col customWidth="1" min="5" max="6" width="14.13"/>
    <col customWidth="1" min="7" max="7" width="5.0"/>
    <col customWidth="1" min="8" max="8" width="15.75"/>
    <col customWidth="1" min="9" max="9" width="6.13"/>
    <col customWidth="1" min="10" max="10" width="15.75"/>
    <col customWidth="1" min="11" max="11" width="6.25"/>
    <col customWidth="1" min="12" max="12" width="18.38"/>
    <col customWidth="1" min="13" max="13" width="7.38"/>
    <col customWidth="1" min="14" max="14" width="14.13"/>
    <col customWidth="1" min="15" max="15" width="4.88"/>
    <col customWidth="1" min="16" max="16" width="15.0"/>
    <col customWidth="1" min="17" max="17" width="6.0"/>
    <col customWidth="1" min="18" max="18" width="14.13"/>
    <col customWidth="1" min="19" max="19" width="4.13"/>
    <col customWidth="1" min="20" max="20" width="13.13"/>
    <col customWidth="1" min="21" max="21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>
        <v>1.0</v>
      </c>
      <c r="C2" s="3" t="s">
        <v>26</v>
      </c>
      <c r="D2" s="3" t="s">
        <v>126</v>
      </c>
      <c r="E2" s="3" t="s">
        <v>26</v>
      </c>
      <c r="F2" s="3" t="s">
        <v>26</v>
      </c>
      <c r="G2" s="4" t="str">
        <f t="shared" ref="G2:G64" si="1">if(E2=F2, "1", "0")</f>
        <v>1</v>
      </c>
      <c r="H2" s="3" t="s">
        <v>26</v>
      </c>
      <c r="I2" s="4" t="str">
        <f t="shared" ref="I2:I64" si="2">if(E2=H2, "1", "0")</f>
        <v>1</v>
      </c>
      <c r="J2" s="3" t="s">
        <v>26</v>
      </c>
      <c r="K2" s="4" t="str">
        <f t="shared" ref="K2:K64" si="3">if(E2=J2, "1", "0")</f>
        <v>1</v>
      </c>
      <c r="L2" s="3" t="s">
        <v>26</v>
      </c>
      <c r="M2" s="4" t="str">
        <f t="shared" ref="M2:M64" si="4">if(E2=L2, "1", "0")</f>
        <v>1</v>
      </c>
      <c r="N2" s="3" t="s">
        <v>26</v>
      </c>
      <c r="O2" s="4" t="str">
        <f t="shared" ref="O2:O64" si="5">if(E2=N2, "1", "0")</f>
        <v>1</v>
      </c>
      <c r="P2" s="3" t="s">
        <v>26</v>
      </c>
      <c r="Q2" s="4" t="str">
        <f t="shared" ref="Q2:Q64" si="6">if(E2=P2, "1", "0")</f>
        <v>1</v>
      </c>
      <c r="R2" s="3" t="s">
        <v>26</v>
      </c>
      <c r="S2" s="4" t="str">
        <f t="shared" ref="S2:S64" si="7">if(E2=R2, "1", "0")</f>
        <v>1</v>
      </c>
      <c r="T2" s="3" t="s">
        <v>26</v>
      </c>
      <c r="U2" s="4" t="str">
        <f t="shared" ref="U2:U64" si="8">IF(T2=E2, "1", "0")</f>
        <v>1</v>
      </c>
    </row>
    <row r="3">
      <c r="A3" s="3" t="s">
        <v>21</v>
      </c>
      <c r="B3" s="3">
        <v>2.0</v>
      </c>
      <c r="C3" s="3" t="s">
        <v>106</v>
      </c>
      <c r="D3" s="3" t="s">
        <v>123</v>
      </c>
      <c r="E3" s="3" t="s">
        <v>123</v>
      </c>
      <c r="F3" s="3" t="s">
        <v>106</v>
      </c>
      <c r="G3" s="4" t="str">
        <f t="shared" si="1"/>
        <v>0</v>
      </c>
      <c r="H3" s="3" t="s">
        <v>106</v>
      </c>
      <c r="I3" s="4" t="str">
        <f t="shared" si="2"/>
        <v>0</v>
      </c>
      <c r="J3" s="3" t="s">
        <v>124</v>
      </c>
      <c r="K3" s="4" t="str">
        <f t="shared" si="3"/>
        <v>0</v>
      </c>
      <c r="L3" s="3" t="s">
        <v>124</v>
      </c>
      <c r="M3" s="4" t="str">
        <f t="shared" si="4"/>
        <v>0</v>
      </c>
      <c r="N3" s="3" t="s">
        <v>124</v>
      </c>
      <c r="O3" s="4" t="str">
        <f t="shared" si="5"/>
        <v>0</v>
      </c>
      <c r="P3" s="3" t="s">
        <v>124</v>
      </c>
      <c r="Q3" s="4" t="str">
        <f t="shared" si="6"/>
        <v>0</v>
      </c>
      <c r="R3" s="3" t="s">
        <v>106</v>
      </c>
      <c r="S3" s="4" t="str">
        <f t="shared" si="7"/>
        <v>0</v>
      </c>
      <c r="T3" s="3" t="s">
        <v>124</v>
      </c>
      <c r="U3" s="4" t="str">
        <f t="shared" si="8"/>
        <v>0</v>
      </c>
    </row>
    <row r="4">
      <c r="A4" s="3" t="s">
        <v>21</v>
      </c>
      <c r="B4" s="3">
        <v>3.0</v>
      </c>
      <c r="C4" s="3" t="s">
        <v>75</v>
      </c>
      <c r="D4" s="3" t="s">
        <v>60</v>
      </c>
      <c r="E4" s="3" t="s">
        <v>75</v>
      </c>
      <c r="F4" s="3" t="s">
        <v>75</v>
      </c>
      <c r="G4" s="4" t="str">
        <f t="shared" si="1"/>
        <v>1</v>
      </c>
      <c r="H4" s="3" t="s">
        <v>75</v>
      </c>
      <c r="I4" s="4" t="str">
        <f t="shared" si="2"/>
        <v>1</v>
      </c>
      <c r="J4" s="3" t="s">
        <v>75</v>
      </c>
      <c r="K4" s="4" t="str">
        <f t="shared" si="3"/>
        <v>1</v>
      </c>
      <c r="L4" s="3" t="s">
        <v>75</v>
      </c>
      <c r="M4" s="4" t="str">
        <f t="shared" si="4"/>
        <v>1</v>
      </c>
      <c r="N4" s="3" t="s">
        <v>75</v>
      </c>
      <c r="O4" s="4" t="str">
        <f t="shared" si="5"/>
        <v>1</v>
      </c>
      <c r="P4" s="3" t="s">
        <v>75</v>
      </c>
      <c r="Q4" s="4" t="str">
        <f t="shared" si="6"/>
        <v>1</v>
      </c>
      <c r="R4" s="3" t="s">
        <v>75</v>
      </c>
      <c r="S4" s="4" t="str">
        <f t="shared" si="7"/>
        <v>1</v>
      </c>
      <c r="T4" s="3" t="s">
        <v>75</v>
      </c>
      <c r="U4" s="4" t="str">
        <f t="shared" si="8"/>
        <v>1</v>
      </c>
    </row>
    <row r="5">
      <c r="A5" s="3" t="s">
        <v>21</v>
      </c>
      <c r="B5" s="3">
        <v>4.0</v>
      </c>
      <c r="C5" s="3" t="s">
        <v>87</v>
      </c>
      <c r="D5" s="3" t="s">
        <v>50</v>
      </c>
      <c r="E5" s="3" t="s">
        <v>50</v>
      </c>
      <c r="F5" s="3" t="s">
        <v>87</v>
      </c>
      <c r="G5" s="4" t="str">
        <f t="shared" si="1"/>
        <v>0</v>
      </c>
      <c r="H5" s="3" t="s">
        <v>87</v>
      </c>
      <c r="I5" s="4" t="str">
        <f t="shared" si="2"/>
        <v>0</v>
      </c>
      <c r="J5" s="3" t="s">
        <v>87</v>
      </c>
      <c r="K5" s="4" t="str">
        <f t="shared" si="3"/>
        <v>0</v>
      </c>
      <c r="L5" s="3" t="s">
        <v>87</v>
      </c>
      <c r="M5" s="4" t="str">
        <f t="shared" si="4"/>
        <v>0</v>
      </c>
      <c r="N5" s="3" t="s">
        <v>87</v>
      </c>
      <c r="O5" s="4" t="str">
        <f t="shared" si="5"/>
        <v>0</v>
      </c>
      <c r="P5" s="3" t="s">
        <v>87</v>
      </c>
      <c r="Q5" s="4" t="str">
        <f t="shared" si="6"/>
        <v>0</v>
      </c>
      <c r="R5" s="3" t="s">
        <v>87</v>
      </c>
      <c r="S5" s="4" t="str">
        <f t="shared" si="7"/>
        <v>0</v>
      </c>
      <c r="T5" s="3" t="s">
        <v>87</v>
      </c>
      <c r="U5" s="4" t="str">
        <f t="shared" si="8"/>
        <v>0</v>
      </c>
    </row>
    <row r="6">
      <c r="A6" s="3" t="s">
        <v>21</v>
      </c>
      <c r="B6" s="3">
        <v>5.0</v>
      </c>
      <c r="C6" s="3" t="s">
        <v>127</v>
      </c>
      <c r="D6" s="3" t="s">
        <v>128</v>
      </c>
      <c r="E6" s="3" t="s">
        <v>128</v>
      </c>
      <c r="F6" s="3" t="s">
        <v>127</v>
      </c>
      <c r="G6" s="4" t="str">
        <f t="shared" si="1"/>
        <v>0</v>
      </c>
      <c r="H6" s="3" t="s">
        <v>127</v>
      </c>
      <c r="I6" s="4" t="str">
        <f t="shared" si="2"/>
        <v>0</v>
      </c>
      <c r="J6" s="3" t="s">
        <v>127</v>
      </c>
      <c r="K6" s="4" t="str">
        <f t="shared" si="3"/>
        <v>0</v>
      </c>
      <c r="L6" s="3" t="s">
        <v>127</v>
      </c>
      <c r="M6" s="4" t="str">
        <f t="shared" si="4"/>
        <v>0</v>
      </c>
      <c r="N6" s="3" t="s">
        <v>127</v>
      </c>
      <c r="O6" s="4" t="str">
        <f t="shared" si="5"/>
        <v>0</v>
      </c>
      <c r="P6" s="3" t="s">
        <v>127</v>
      </c>
      <c r="Q6" s="4" t="str">
        <f t="shared" si="6"/>
        <v>0</v>
      </c>
      <c r="R6" s="3" t="s">
        <v>127</v>
      </c>
      <c r="S6" s="4" t="str">
        <f t="shared" si="7"/>
        <v>0</v>
      </c>
      <c r="T6" s="3" t="s">
        <v>127</v>
      </c>
      <c r="U6" s="4" t="str">
        <f t="shared" si="8"/>
        <v>0</v>
      </c>
    </row>
    <row r="7">
      <c r="A7" s="3" t="s">
        <v>21</v>
      </c>
      <c r="B7" s="3">
        <v>6.0</v>
      </c>
      <c r="C7" s="3" t="s">
        <v>61</v>
      </c>
      <c r="D7" s="3" t="s">
        <v>129</v>
      </c>
      <c r="E7" s="3" t="s">
        <v>61</v>
      </c>
      <c r="F7" s="3" t="s">
        <v>63</v>
      </c>
      <c r="G7" s="4" t="str">
        <f t="shared" si="1"/>
        <v>0</v>
      </c>
      <c r="H7" s="3" t="s">
        <v>63</v>
      </c>
      <c r="I7" s="4" t="str">
        <f t="shared" si="2"/>
        <v>0</v>
      </c>
      <c r="J7" s="3" t="s">
        <v>63</v>
      </c>
      <c r="K7" s="4" t="str">
        <f t="shared" si="3"/>
        <v>0</v>
      </c>
      <c r="L7" s="3" t="s">
        <v>63</v>
      </c>
      <c r="M7" s="4" t="str">
        <f t="shared" si="4"/>
        <v>0</v>
      </c>
      <c r="N7" s="3" t="s">
        <v>63</v>
      </c>
      <c r="O7" s="4" t="str">
        <f t="shared" si="5"/>
        <v>0</v>
      </c>
      <c r="P7" s="3" t="s">
        <v>63</v>
      </c>
      <c r="Q7" s="4" t="str">
        <f t="shared" si="6"/>
        <v>0</v>
      </c>
      <c r="R7" s="3" t="s">
        <v>63</v>
      </c>
      <c r="S7" s="4" t="str">
        <f t="shared" si="7"/>
        <v>0</v>
      </c>
      <c r="T7" s="3" t="s">
        <v>63</v>
      </c>
      <c r="U7" s="4" t="str">
        <f t="shared" si="8"/>
        <v>0</v>
      </c>
    </row>
    <row r="8">
      <c r="A8" s="3" t="s">
        <v>21</v>
      </c>
      <c r="B8" s="3">
        <v>7.0</v>
      </c>
      <c r="C8" s="3" t="s">
        <v>130</v>
      </c>
      <c r="D8" s="3" t="s">
        <v>111</v>
      </c>
      <c r="E8" s="3" t="s">
        <v>130</v>
      </c>
      <c r="F8" s="3" t="s">
        <v>130</v>
      </c>
      <c r="G8" s="4" t="str">
        <f t="shared" si="1"/>
        <v>1</v>
      </c>
      <c r="H8" s="3" t="s">
        <v>111</v>
      </c>
      <c r="I8" s="4" t="str">
        <f t="shared" si="2"/>
        <v>0</v>
      </c>
      <c r="J8" s="3" t="s">
        <v>130</v>
      </c>
      <c r="K8" s="4" t="str">
        <f t="shared" si="3"/>
        <v>1</v>
      </c>
      <c r="L8" s="3" t="s">
        <v>130</v>
      </c>
      <c r="M8" s="4" t="str">
        <f t="shared" si="4"/>
        <v>1</v>
      </c>
      <c r="N8" s="3" t="s">
        <v>130</v>
      </c>
      <c r="O8" s="4" t="str">
        <f t="shared" si="5"/>
        <v>1</v>
      </c>
      <c r="P8" s="3" t="s">
        <v>130</v>
      </c>
      <c r="Q8" s="4" t="str">
        <f t="shared" si="6"/>
        <v>1</v>
      </c>
      <c r="R8" s="3" t="s">
        <v>130</v>
      </c>
      <c r="S8" s="4" t="str">
        <f t="shared" si="7"/>
        <v>1</v>
      </c>
      <c r="T8" s="3" t="s">
        <v>111</v>
      </c>
      <c r="U8" s="4" t="str">
        <f t="shared" si="8"/>
        <v>0</v>
      </c>
    </row>
    <row r="9">
      <c r="A9" s="3" t="s">
        <v>21</v>
      </c>
      <c r="B9" s="3">
        <v>8.0</v>
      </c>
      <c r="C9" s="3" t="s">
        <v>82</v>
      </c>
      <c r="D9" s="3" t="s">
        <v>80</v>
      </c>
      <c r="E9" s="3" t="s">
        <v>82</v>
      </c>
      <c r="F9" s="3" t="s">
        <v>82</v>
      </c>
      <c r="G9" s="4" t="str">
        <f t="shared" si="1"/>
        <v>1</v>
      </c>
      <c r="H9" s="3" t="s">
        <v>82</v>
      </c>
      <c r="I9" s="4" t="str">
        <f t="shared" si="2"/>
        <v>1</v>
      </c>
      <c r="J9" s="3" t="s">
        <v>82</v>
      </c>
      <c r="K9" s="4" t="str">
        <f t="shared" si="3"/>
        <v>1</v>
      </c>
      <c r="L9" s="3" t="s">
        <v>82</v>
      </c>
      <c r="M9" s="4" t="str">
        <f t="shared" si="4"/>
        <v>1</v>
      </c>
      <c r="N9" s="3" t="s">
        <v>82</v>
      </c>
      <c r="O9" s="4" t="str">
        <f t="shared" si="5"/>
        <v>1</v>
      </c>
      <c r="P9" s="3" t="s">
        <v>82</v>
      </c>
      <c r="Q9" s="4" t="str">
        <f t="shared" si="6"/>
        <v>1</v>
      </c>
      <c r="R9" s="3" t="s">
        <v>82</v>
      </c>
      <c r="S9" s="4" t="str">
        <f t="shared" si="7"/>
        <v>1</v>
      </c>
      <c r="T9" s="3" t="s">
        <v>82</v>
      </c>
      <c r="U9" s="4" t="str">
        <f t="shared" si="8"/>
        <v>1</v>
      </c>
    </row>
    <row r="10">
      <c r="A10" s="3" t="s">
        <v>21</v>
      </c>
      <c r="B10" s="3">
        <v>9.0</v>
      </c>
      <c r="C10" s="3" t="s">
        <v>40</v>
      </c>
      <c r="D10" s="3" t="s">
        <v>131</v>
      </c>
      <c r="E10" s="3" t="s">
        <v>40</v>
      </c>
      <c r="F10" s="3" t="s">
        <v>42</v>
      </c>
      <c r="G10" s="4" t="str">
        <f t="shared" si="1"/>
        <v>0</v>
      </c>
      <c r="H10" s="3" t="s">
        <v>42</v>
      </c>
      <c r="I10" s="4" t="str">
        <f t="shared" si="2"/>
        <v>0</v>
      </c>
      <c r="J10" s="3" t="s">
        <v>42</v>
      </c>
      <c r="K10" s="4" t="str">
        <f t="shared" si="3"/>
        <v>0</v>
      </c>
      <c r="L10" s="3" t="s">
        <v>42</v>
      </c>
      <c r="M10" s="4" t="str">
        <f t="shared" si="4"/>
        <v>0</v>
      </c>
      <c r="N10" s="3" t="s">
        <v>42</v>
      </c>
      <c r="O10" s="4" t="str">
        <f t="shared" si="5"/>
        <v>0</v>
      </c>
      <c r="P10" s="3" t="s">
        <v>42</v>
      </c>
      <c r="Q10" s="4" t="str">
        <f t="shared" si="6"/>
        <v>0</v>
      </c>
      <c r="R10" s="3" t="s">
        <v>42</v>
      </c>
      <c r="S10" s="4" t="str">
        <f t="shared" si="7"/>
        <v>0</v>
      </c>
      <c r="T10" s="3" t="s">
        <v>42</v>
      </c>
      <c r="U10" s="4" t="str">
        <f t="shared" si="8"/>
        <v>0</v>
      </c>
    </row>
    <row r="11">
      <c r="A11" s="3" t="s">
        <v>21</v>
      </c>
      <c r="B11" s="3">
        <v>10.0</v>
      </c>
      <c r="C11" s="3" t="s">
        <v>132</v>
      </c>
      <c r="D11" s="3" t="s">
        <v>34</v>
      </c>
      <c r="E11" s="3" t="s">
        <v>34</v>
      </c>
      <c r="F11" s="3" t="s">
        <v>34</v>
      </c>
      <c r="G11" s="4" t="str">
        <f t="shared" si="1"/>
        <v>1</v>
      </c>
      <c r="H11" s="3" t="s">
        <v>132</v>
      </c>
      <c r="I11" s="4" t="str">
        <f t="shared" si="2"/>
        <v>0</v>
      </c>
      <c r="J11" s="3" t="s">
        <v>34</v>
      </c>
      <c r="K11" s="4" t="str">
        <f t="shared" si="3"/>
        <v>1</v>
      </c>
      <c r="L11" s="3" t="s">
        <v>34</v>
      </c>
      <c r="M11" s="4" t="str">
        <f t="shared" si="4"/>
        <v>1</v>
      </c>
      <c r="N11" s="3" t="s">
        <v>34</v>
      </c>
      <c r="O11" s="4" t="str">
        <f t="shared" si="5"/>
        <v>1</v>
      </c>
      <c r="P11" s="3" t="s">
        <v>34</v>
      </c>
      <c r="Q11" s="4" t="str">
        <f t="shared" si="6"/>
        <v>1</v>
      </c>
      <c r="R11" s="3" t="s">
        <v>132</v>
      </c>
      <c r="S11" s="4" t="str">
        <f t="shared" si="7"/>
        <v>0</v>
      </c>
      <c r="T11" s="3" t="s">
        <v>34</v>
      </c>
      <c r="U11" s="4" t="str">
        <f t="shared" si="8"/>
        <v>1</v>
      </c>
    </row>
    <row r="12">
      <c r="A12" s="3" t="s">
        <v>21</v>
      </c>
      <c r="B12" s="3">
        <v>11.0</v>
      </c>
      <c r="C12" s="3" t="s">
        <v>43</v>
      </c>
      <c r="D12" s="3" t="s">
        <v>122</v>
      </c>
      <c r="E12" s="3" t="s">
        <v>122</v>
      </c>
      <c r="F12" s="3" t="s">
        <v>43</v>
      </c>
      <c r="G12" s="4" t="str">
        <f t="shared" si="1"/>
        <v>0</v>
      </c>
      <c r="H12" s="3" t="s">
        <v>43</v>
      </c>
      <c r="I12" s="4" t="str">
        <f t="shared" si="2"/>
        <v>0</v>
      </c>
      <c r="J12" s="3" t="s">
        <v>43</v>
      </c>
      <c r="K12" s="4" t="str">
        <f t="shared" si="3"/>
        <v>0</v>
      </c>
      <c r="L12" s="3" t="s">
        <v>122</v>
      </c>
      <c r="M12" s="4" t="str">
        <f t="shared" si="4"/>
        <v>1</v>
      </c>
      <c r="N12" s="3" t="s">
        <v>43</v>
      </c>
      <c r="O12" s="4" t="str">
        <f t="shared" si="5"/>
        <v>0</v>
      </c>
      <c r="P12" s="3" t="s">
        <v>43</v>
      </c>
      <c r="Q12" s="4" t="str">
        <f t="shared" si="6"/>
        <v>0</v>
      </c>
      <c r="R12" s="3" t="s">
        <v>122</v>
      </c>
      <c r="S12" s="4" t="str">
        <f t="shared" si="7"/>
        <v>1</v>
      </c>
      <c r="T12" s="3" t="s">
        <v>43</v>
      </c>
      <c r="U12" s="4" t="str">
        <f t="shared" si="8"/>
        <v>0</v>
      </c>
    </row>
    <row r="13">
      <c r="A13" s="3" t="s">
        <v>21</v>
      </c>
      <c r="B13" s="3">
        <v>12.0</v>
      </c>
      <c r="C13" s="3" t="s">
        <v>30</v>
      </c>
      <c r="D13" s="3" t="s">
        <v>97</v>
      </c>
      <c r="E13" s="3" t="s">
        <v>30</v>
      </c>
      <c r="F13" s="3" t="s">
        <v>30</v>
      </c>
      <c r="G13" s="4" t="str">
        <f t="shared" si="1"/>
        <v>1</v>
      </c>
      <c r="H13" s="3" t="s">
        <v>30</v>
      </c>
      <c r="I13" s="4" t="str">
        <f t="shared" si="2"/>
        <v>1</v>
      </c>
      <c r="J13" s="3" t="s">
        <v>30</v>
      </c>
      <c r="K13" s="4" t="str">
        <f t="shared" si="3"/>
        <v>1</v>
      </c>
      <c r="L13" s="3" t="s">
        <v>30</v>
      </c>
      <c r="M13" s="4" t="str">
        <f t="shared" si="4"/>
        <v>1</v>
      </c>
      <c r="N13" s="3" t="s">
        <v>30</v>
      </c>
      <c r="O13" s="4" t="str">
        <f t="shared" si="5"/>
        <v>1</v>
      </c>
      <c r="P13" s="3" t="s">
        <v>30</v>
      </c>
      <c r="Q13" s="4" t="str">
        <f t="shared" si="6"/>
        <v>1</v>
      </c>
      <c r="R13" s="3" t="s">
        <v>30</v>
      </c>
      <c r="S13" s="4" t="str">
        <f t="shared" si="7"/>
        <v>1</v>
      </c>
      <c r="T13" s="3" t="s">
        <v>30</v>
      </c>
      <c r="U13" s="4" t="str">
        <f t="shared" si="8"/>
        <v>1</v>
      </c>
    </row>
    <row r="14">
      <c r="A14" s="3" t="s">
        <v>21</v>
      </c>
      <c r="B14" s="3">
        <v>13.0</v>
      </c>
      <c r="C14" s="3" t="s">
        <v>133</v>
      </c>
      <c r="D14" s="3" t="s">
        <v>134</v>
      </c>
      <c r="E14" s="3" t="s">
        <v>133</v>
      </c>
      <c r="F14" s="3" t="s">
        <v>134</v>
      </c>
      <c r="G14" s="4" t="str">
        <f t="shared" si="1"/>
        <v>0</v>
      </c>
      <c r="H14" s="3" t="s">
        <v>134</v>
      </c>
      <c r="I14" s="4" t="str">
        <f t="shared" si="2"/>
        <v>0</v>
      </c>
      <c r="J14" s="3" t="s">
        <v>133</v>
      </c>
      <c r="K14" s="4" t="str">
        <f t="shared" si="3"/>
        <v>1</v>
      </c>
      <c r="L14" s="3" t="s">
        <v>133</v>
      </c>
      <c r="M14" s="4" t="str">
        <f t="shared" si="4"/>
        <v>1</v>
      </c>
      <c r="N14" s="3" t="s">
        <v>133</v>
      </c>
      <c r="O14" s="4" t="str">
        <f t="shared" si="5"/>
        <v>1</v>
      </c>
      <c r="P14" s="3" t="s">
        <v>133</v>
      </c>
      <c r="Q14" s="4" t="str">
        <f t="shared" si="6"/>
        <v>1</v>
      </c>
      <c r="R14" s="3" t="s">
        <v>134</v>
      </c>
      <c r="S14" s="4" t="str">
        <f t="shared" si="7"/>
        <v>0</v>
      </c>
      <c r="T14" s="3" t="s">
        <v>134</v>
      </c>
      <c r="U14" s="4" t="str">
        <f t="shared" si="8"/>
        <v>0</v>
      </c>
    </row>
    <row r="15">
      <c r="A15" s="3" t="s">
        <v>21</v>
      </c>
      <c r="B15" s="3">
        <v>14.0</v>
      </c>
      <c r="C15" s="3" t="s">
        <v>38</v>
      </c>
      <c r="D15" s="3" t="s">
        <v>84</v>
      </c>
      <c r="E15" s="3" t="s">
        <v>38</v>
      </c>
      <c r="F15" s="3" t="s">
        <v>38</v>
      </c>
      <c r="G15" s="4" t="str">
        <f t="shared" si="1"/>
        <v>1</v>
      </c>
      <c r="H15" s="3" t="s">
        <v>38</v>
      </c>
      <c r="I15" s="4" t="str">
        <f t="shared" si="2"/>
        <v>1</v>
      </c>
      <c r="J15" s="3" t="s">
        <v>38</v>
      </c>
      <c r="K15" s="4" t="str">
        <f t="shared" si="3"/>
        <v>1</v>
      </c>
      <c r="L15" s="3" t="s">
        <v>38</v>
      </c>
      <c r="M15" s="4" t="str">
        <f t="shared" si="4"/>
        <v>1</v>
      </c>
      <c r="N15" s="3" t="s">
        <v>38</v>
      </c>
      <c r="O15" s="4" t="str">
        <f t="shared" si="5"/>
        <v>1</v>
      </c>
      <c r="P15" s="3" t="s">
        <v>38</v>
      </c>
      <c r="Q15" s="4" t="str">
        <f t="shared" si="6"/>
        <v>1</v>
      </c>
      <c r="R15" s="3" t="s">
        <v>38</v>
      </c>
      <c r="S15" s="4" t="str">
        <f t="shared" si="7"/>
        <v>1</v>
      </c>
      <c r="T15" s="3" t="s">
        <v>38</v>
      </c>
      <c r="U15" s="4" t="str">
        <f t="shared" si="8"/>
        <v>1</v>
      </c>
    </row>
    <row r="16">
      <c r="A16" s="3" t="s">
        <v>21</v>
      </c>
      <c r="B16" s="3">
        <v>15.0</v>
      </c>
      <c r="C16" s="3" t="s">
        <v>135</v>
      </c>
      <c r="D16" s="3" t="s">
        <v>136</v>
      </c>
      <c r="E16" s="3" t="s">
        <v>135</v>
      </c>
      <c r="F16" s="3" t="s">
        <v>135</v>
      </c>
      <c r="G16" s="4" t="str">
        <f t="shared" si="1"/>
        <v>1</v>
      </c>
      <c r="H16" s="3" t="s">
        <v>135</v>
      </c>
      <c r="I16" s="4" t="str">
        <f t="shared" si="2"/>
        <v>1</v>
      </c>
      <c r="J16" s="3" t="s">
        <v>135</v>
      </c>
      <c r="K16" s="4" t="str">
        <f t="shared" si="3"/>
        <v>1</v>
      </c>
      <c r="L16" s="3" t="s">
        <v>135</v>
      </c>
      <c r="M16" s="4" t="str">
        <f t="shared" si="4"/>
        <v>1</v>
      </c>
      <c r="N16" s="3" t="s">
        <v>136</v>
      </c>
      <c r="O16" s="4" t="str">
        <f t="shared" si="5"/>
        <v>0</v>
      </c>
      <c r="P16" s="3" t="s">
        <v>135</v>
      </c>
      <c r="Q16" s="4" t="str">
        <f t="shared" si="6"/>
        <v>1</v>
      </c>
      <c r="R16" s="3" t="s">
        <v>136</v>
      </c>
      <c r="S16" s="4" t="str">
        <f t="shared" si="7"/>
        <v>0</v>
      </c>
      <c r="T16" s="3" t="s">
        <v>135</v>
      </c>
      <c r="U16" s="4" t="str">
        <f t="shared" si="8"/>
        <v>1</v>
      </c>
    </row>
    <row r="17">
      <c r="A17" s="3" t="s">
        <v>21</v>
      </c>
      <c r="B17" s="3">
        <v>16.0</v>
      </c>
      <c r="C17" s="3" t="s">
        <v>55</v>
      </c>
      <c r="D17" s="3" t="s">
        <v>137</v>
      </c>
      <c r="E17" s="3" t="s">
        <v>55</v>
      </c>
      <c r="F17" s="3" t="s">
        <v>55</v>
      </c>
      <c r="G17" s="4" t="str">
        <f t="shared" si="1"/>
        <v>1</v>
      </c>
      <c r="H17" s="3" t="s">
        <v>55</v>
      </c>
      <c r="I17" s="4" t="str">
        <f t="shared" si="2"/>
        <v>1</v>
      </c>
      <c r="J17" s="3" t="s">
        <v>55</v>
      </c>
      <c r="K17" s="4" t="str">
        <f t="shared" si="3"/>
        <v>1</v>
      </c>
      <c r="L17" s="3" t="s">
        <v>55</v>
      </c>
      <c r="M17" s="4" t="str">
        <f t="shared" si="4"/>
        <v>1</v>
      </c>
      <c r="N17" s="3" t="s">
        <v>55</v>
      </c>
      <c r="O17" s="4" t="str">
        <f t="shared" si="5"/>
        <v>1</v>
      </c>
      <c r="P17" s="3" t="s">
        <v>55</v>
      </c>
      <c r="Q17" s="4" t="str">
        <f t="shared" si="6"/>
        <v>1</v>
      </c>
      <c r="R17" s="3" t="s">
        <v>55</v>
      </c>
      <c r="S17" s="4" t="str">
        <f t="shared" si="7"/>
        <v>1</v>
      </c>
      <c r="T17" s="3" t="s">
        <v>55</v>
      </c>
      <c r="U17" s="4" t="str">
        <f t="shared" si="8"/>
        <v>1</v>
      </c>
    </row>
    <row r="18">
      <c r="A18" s="3" t="s">
        <v>21</v>
      </c>
      <c r="B18" s="3">
        <v>17.0</v>
      </c>
      <c r="C18" s="3" t="s">
        <v>59</v>
      </c>
      <c r="D18" s="3" t="s">
        <v>67</v>
      </c>
      <c r="E18" s="3" t="s">
        <v>59</v>
      </c>
      <c r="F18" s="3" t="s">
        <v>59</v>
      </c>
      <c r="G18" s="4" t="str">
        <f t="shared" si="1"/>
        <v>1</v>
      </c>
      <c r="H18" s="3" t="s">
        <v>59</v>
      </c>
      <c r="I18" s="4" t="str">
        <f t="shared" si="2"/>
        <v>1</v>
      </c>
      <c r="J18" s="3" t="s">
        <v>59</v>
      </c>
      <c r="K18" s="4" t="str">
        <f t="shared" si="3"/>
        <v>1</v>
      </c>
      <c r="L18" s="3" t="s">
        <v>59</v>
      </c>
      <c r="M18" s="4" t="str">
        <f t="shared" si="4"/>
        <v>1</v>
      </c>
      <c r="N18" s="3" t="s">
        <v>59</v>
      </c>
      <c r="O18" s="4" t="str">
        <f t="shared" si="5"/>
        <v>1</v>
      </c>
      <c r="P18" s="3" t="s">
        <v>59</v>
      </c>
      <c r="Q18" s="4" t="str">
        <f t="shared" si="6"/>
        <v>1</v>
      </c>
      <c r="R18" s="3" t="s">
        <v>59</v>
      </c>
      <c r="S18" s="4" t="str">
        <f t="shared" si="7"/>
        <v>1</v>
      </c>
      <c r="T18" s="3" t="s">
        <v>59</v>
      </c>
      <c r="U18" s="4" t="str">
        <f t="shared" si="8"/>
        <v>1</v>
      </c>
    </row>
    <row r="19">
      <c r="A19" s="3" t="s">
        <v>21</v>
      </c>
      <c r="B19" s="3">
        <v>18.0</v>
      </c>
      <c r="C19" s="3" t="s">
        <v>138</v>
      </c>
      <c r="D19" s="3" t="s">
        <v>116</v>
      </c>
      <c r="E19" s="3" t="s">
        <v>116</v>
      </c>
      <c r="F19" s="3" t="s">
        <v>138</v>
      </c>
      <c r="G19" s="4" t="str">
        <f t="shared" si="1"/>
        <v>0</v>
      </c>
      <c r="H19" s="3" t="s">
        <v>138</v>
      </c>
      <c r="I19" s="4" t="str">
        <f t="shared" si="2"/>
        <v>0</v>
      </c>
      <c r="J19" s="3" t="s">
        <v>116</v>
      </c>
      <c r="K19" s="4" t="str">
        <f t="shared" si="3"/>
        <v>1</v>
      </c>
      <c r="L19" s="3" t="s">
        <v>116</v>
      </c>
      <c r="M19" s="4" t="str">
        <f t="shared" si="4"/>
        <v>1</v>
      </c>
      <c r="N19" s="3" t="s">
        <v>116</v>
      </c>
      <c r="O19" s="4" t="str">
        <f t="shared" si="5"/>
        <v>1</v>
      </c>
      <c r="P19" s="3" t="s">
        <v>116</v>
      </c>
      <c r="Q19" s="4" t="str">
        <f t="shared" si="6"/>
        <v>1</v>
      </c>
      <c r="R19" s="3" t="s">
        <v>138</v>
      </c>
      <c r="S19" s="4" t="str">
        <f t="shared" si="7"/>
        <v>0</v>
      </c>
      <c r="T19" s="3" t="s">
        <v>138</v>
      </c>
      <c r="U19" s="4" t="str">
        <f t="shared" si="8"/>
        <v>0</v>
      </c>
    </row>
    <row r="20">
      <c r="A20" s="3" t="s">
        <v>21</v>
      </c>
      <c r="B20" s="3">
        <v>19.0</v>
      </c>
      <c r="C20" s="3" t="s">
        <v>83</v>
      </c>
      <c r="D20" s="3" t="s">
        <v>139</v>
      </c>
      <c r="E20" s="3" t="s">
        <v>139</v>
      </c>
      <c r="F20" s="3" t="s">
        <v>83</v>
      </c>
      <c r="G20" s="4" t="str">
        <f t="shared" si="1"/>
        <v>0</v>
      </c>
      <c r="H20" s="3" t="s">
        <v>83</v>
      </c>
      <c r="I20" s="4" t="str">
        <f t="shared" si="2"/>
        <v>0</v>
      </c>
      <c r="J20" s="3" t="s">
        <v>83</v>
      </c>
      <c r="K20" s="4" t="str">
        <f t="shared" si="3"/>
        <v>0</v>
      </c>
      <c r="L20" s="3" t="s">
        <v>83</v>
      </c>
      <c r="M20" s="4" t="str">
        <f t="shared" si="4"/>
        <v>0</v>
      </c>
      <c r="N20" s="3" t="s">
        <v>83</v>
      </c>
      <c r="O20" s="4" t="str">
        <f t="shared" si="5"/>
        <v>0</v>
      </c>
      <c r="P20" s="3" t="s">
        <v>83</v>
      </c>
      <c r="Q20" s="4" t="str">
        <f t="shared" si="6"/>
        <v>0</v>
      </c>
      <c r="R20" s="3" t="s">
        <v>83</v>
      </c>
      <c r="S20" s="4" t="str">
        <f t="shared" si="7"/>
        <v>0</v>
      </c>
      <c r="T20" s="3" t="s">
        <v>83</v>
      </c>
      <c r="U20" s="4" t="str">
        <f t="shared" si="8"/>
        <v>0</v>
      </c>
    </row>
    <row r="21">
      <c r="A21" s="3" t="s">
        <v>21</v>
      </c>
      <c r="B21" s="3">
        <v>20.0</v>
      </c>
      <c r="C21" s="3" t="s">
        <v>36</v>
      </c>
      <c r="D21" s="3" t="s">
        <v>29</v>
      </c>
      <c r="E21" s="3" t="s">
        <v>36</v>
      </c>
      <c r="F21" s="3" t="s">
        <v>36</v>
      </c>
      <c r="G21" s="4" t="str">
        <f t="shared" si="1"/>
        <v>1</v>
      </c>
      <c r="H21" s="3" t="s">
        <v>36</v>
      </c>
      <c r="I21" s="4" t="str">
        <f t="shared" si="2"/>
        <v>1</v>
      </c>
      <c r="J21" s="3" t="s">
        <v>36</v>
      </c>
      <c r="K21" s="4" t="str">
        <f t="shared" si="3"/>
        <v>1</v>
      </c>
      <c r="L21" s="3" t="s">
        <v>36</v>
      </c>
      <c r="M21" s="4" t="str">
        <f t="shared" si="4"/>
        <v>1</v>
      </c>
      <c r="N21" s="3" t="s">
        <v>36</v>
      </c>
      <c r="O21" s="4" t="str">
        <f t="shared" si="5"/>
        <v>1</v>
      </c>
      <c r="P21" s="3" t="s">
        <v>36</v>
      </c>
      <c r="Q21" s="4" t="str">
        <f t="shared" si="6"/>
        <v>1</v>
      </c>
      <c r="R21" s="3" t="s">
        <v>36</v>
      </c>
      <c r="S21" s="4" t="str">
        <f t="shared" si="7"/>
        <v>1</v>
      </c>
      <c r="T21" s="3" t="s">
        <v>36</v>
      </c>
      <c r="U21" s="4" t="str">
        <f t="shared" si="8"/>
        <v>1</v>
      </c>
    </row>
    <row r="22">
      <c r="A22" s="3" t="s">
        <v>21</v>
      </c>
      <c r="B22" s="3">
        <v>21.0</v>
      </c>
      <c r="C22" s="3" t="s">
        <v>32</v>
      </c>
      <c r="D22" s="3" t="s">
        <v>100</v>
      </c>
      <c r="E22" s="3" t="s">
        <v>100</v>
      </c>
      <c r="F22" s="3" t="s">
        <v>32</v>
      </c>
      <c r="G22" s="4" t="str">
        <f t="shared" si="1"/>
        <v>0</v>
      </c>
      <c r="H22" s="3" t="s">
        <v>32</v>
      </c>
      <c r="I22" s="4" t="str">
        <f t="shared" si="2"/>
        <v>0</v>
      </c>
      <c r="J22" s="3" t="s">
        <v>32</v>
      </c>
      <c r="K22" s="4" t="str">
        <f t="shared" si="3"/>
        <v>0</v>
      </c>
      <c r="L22" s="3" t="s">
        <v>32</v>
      </c>
      <c r="M22" s="4" t="str">
        <f t="shared" si="4"/>
        <v>0</v>
      </c>
      <c r="N22" s="3" t="s">
        <v>32</v>
      </c>
      <c r="O22" s="4" t="str">
        <f t="shared" si="5"/>
        <v>0</v>
      </c>
      <c r="P22" s="3" t="s">
        <v>32</v>
      </c>
      <c r="Q22" s="4" t="str">
        <f t="shared" si="6"/>
        <v>0</v>
      </c>
      <c r="R22" s="3" t="s">
        <v>32</v>
      </c>
      <c r="S22" s="4" t="str">
        <f t="shared" si="7"/>
        <v>0</v>
      </c>
      <c r="T22" s="3" t="s">
        <v>32</v>
      </c>
      <c r="U22" s="4" t="str">
        <f t="shared" si="8"/>
        <v>0</v>
      </c>
    </row>
    <row r="23">
      <c r="A23" s="3" t="s">
        <v>21</v>
      </c>
      <c r="B23" s="3">
        <v>22.0</v>
      </c>
      <c r="C23" s="3" t="s">
        <v>53</v>
      </c>
      <c r="D23" s="3" t="s">
        <v>140</v>
      </c>
      <c r="E23" s="3" t="s">
        <v>140</v>
      </c>
      <c r="F23" s="3" t="s">
        <v>53</v>
      </c>
      <c r="G23" s="4" t="str">
        <f t="shared" si="1"/>
        <v>0</v>
      </c>
      <c r="H23" s="3" t="s">
        <v>53</v>
      </c>
      <c r="I23" s="4" t="str">
        <f t="shared" si="2"/>
        <v>0</v>
      </c>
      <c r="J23" s="3" t="s">
        <v>53</v>
      </c>
      <c r="K23" s="4" t="str">
        <f t="shared" si="3"/>
        <v>0</v>
      </c>
      <c r="L23" s="3" t="s">
        <v>53</v>
      </c>
      <c r="M23" s="4" t="str">
        <f t="shared" si="4"/>
        <v>0</v>
      </c>
      <c r="N23" s="3" t="s">
        <v>53</v>
      </c>
      <c r="O23" s="4" t="str">
        <f t="shared" si="5"/>
        <v>0</v>
      </c>
      <c r="P23" s="3" t="s">
        <v>53</v>
      </c>
      <c r="Q23" s="4" t="str">
        <f t="shared" si="6"/>
        <v>0</v>
      </c>
      <c r="R23" s="3" t="s">
        <v>53</v>
      </c>
      <c r="S23" s="4" t="str">
        <f t="shared" si="7"/>
        <v>0</v>
      </c>
      <c r="T23" s="3" t="s">
        <v>53</v>
      </c>
      <c r="U23" s="4" t="str">
        <f t="shared" si="8"/>
        <v>0</v>
      </c>
    </row>
    <row r="24">
      <c r="A24" s="3" t="s">
        <v>21</v>
      </c>
      <c r="B24" s="3">
        <v>23.0</v>
      </c>
      <c r="C24" s="3" t="s">
        <v>141</v>
      </c>
      <c r="D24" s="3" t="s">
        <v>142</v>
      </c>
      <c r="E24" s="3" t="s">
        <v>142</v>
      </c>
      <c r="F24" s="3" t="s">
        <v>142</v>
      </c>
      <c r="G24" s="4" t="str">
        <f t="shared" si="1"/>
        <v>1</v>
      </c>
      <c r="H24" s="3" t="s">
        <v>141</v>
      </c>
      <c r="I24" s="4" t="str">
        <f t="shared" si="2"/>
        <v>0</v>
      </c>
      <c r="J24" s="3" t="s">
        <v>141</v>
      </c>
      <c r="K24" s="4" t="str">
        <f t="shared" si="3"/>
        <v>0</v>
      </c>
      <c r="L24" s="3" t="s">
        <v>141</v>
      </c>
      <c r="M24" s="4" t="str">
        <f t="shared" si="4"/>
        <v>0</v>
      </c>
      <c r="N24" s="3" t="s">
        <v>141</v>
      </c>
      <c r="O24" s="4" t="str">
        <f t="shared" si="5"/>
        <v>0</v>
      </c>
      <c r="P24" s="3" t="s">
        <v>141</v>
      </c>
      <c r="Q24" s="4" t="str">
        <f t="shared" si="6"/>
        <v>0</v>
      </c>
      <c r="R24" s="3" t="s">
        <v>141</v>
      </c>
      <c r="S24" s="4" t="str">
        <f t="shared" si="7"/>
        <v>0</v>
      </c>
      <c r="T24" s="3" t="s">
        <v>141</v>
      </c>
      <c r="U24" s="4" t="str">
        <f t="shared" si="8"/>
        <v>0</v>
      </c>
    </row>
    <row r="25">
      <c r="A25" s="3" t="s">
        <v>21</v>
      </c>
      <c r="B25" s="3">
        <v>24.0</v>
      </c>
      <c r="C25" s="3" t="s">
        <v>41</v>
      </c>
      <c r="D25" s="3" t="s">
        <v>143</v>
      </c>
      <c r="E25" s="3" t="s">
        <v>41</v>
      </c>
      <c r="F25" s="3" t="s">
        <v>41</v>
      </c>
      <c r="G25" s="4" t="str">
        <f t="shared" si="1"/>
        <v>1</v>
      </c>
      <c r="H25" s="3" t="s">
        <v>41</v>
      </c>
      <c r="I25" s="4" t="str">
        <f t="shared" si="2"/>
        <v>1</v>
      </c>
      <c r="J25" s="3" t="s">
        <v>41</v>
      </c>
      <c r="K25" s="4" t="str">
        <f t="shared" si="3"/>
        <v>1</v>
      </c>
      <c r="L25" s="3" t="s">
        <v>41</v>
      </c>
      <c r="M25" s="4" t="str">
        <f t="shared" si="4"/>
        <v>1</v>
      </c>
      <c r="N25" s="3" t="s">
        <v>41</v>
      </c>
      <c r="O25" s="4" t="str">
        <f t="shared" si="5"/>
        <v>1</v>
      </c>
      <c r="P25" s="3" t="s">
        <v>41</v>
      </c>
      <c r="Q25" s="4" t="str">
        <f t="shared" si="6"/>
        <v>1</v>
      </c>
      <c r="R25" s="3" t="s">
        <v>41</v>
      </c>
      <c r="S25" s="4" t="str">
        <f t="shared" si="7"/>
        <v>1</v>
      </c>
      <c r="T25" s="3" t="s">
        <v>41</v>
      </c>
      <c r="U25" s="4" t="str">
        <f t="shared" si="8"/>
        <v>1</v>
      </c>
    </row>
    <row r="26">
      <c r="A26" s="3" t="s">
        <v>21</v>
      </c>
      <c r="B26" s="3">
        <v>25.0</v>
      </c>
      <c r="C26" s="3" t="s">
        <v>49</v>
      </c>
      <c r="D26" s="3" t="s">
        <v>144</v>
      </c>
      <c r="E26" s="3" t="s">
        <v>49</v>
      </c>
      <c r="F26" s="3" t="s">
        <v>49</v>
      </c>
      <c r="G26" s="4" t="str">
        <f t="shared" si="1"/>
        <v>1</v>
      </c>
      <c r="H26" s="3" t="s">
        <v>49</v>
      </c>
      <c r="I26" s="4" t="str">
        <f t="shared" si="2"/>
        <v>1</v>
      </c>
      <c r="J26" s="3" t="s">
        <v>49</v>
      </c>
      <c r="K26" s="4" t="str">
        <f t="shared" si="3"/>
        <v>1</v>
      </c>
      <c r="L26" s="3" t="s">
        <v>49</v>
      </c>
      <c r="M26" s="4" t="str">
        <f t="shared" si="4"/>
        <v>1</v>
      </c>
      <c r="N26" s="3" t="s">
        <v>49</v>
      </c>
      <c r="O26" s="4" t="str">
        <f t="shared" si="5"/>
        <v>1</v>
      </c>
      <c r="P26" s="3" t="s">
        <v>49</v>
      </c>
      <c r="Q26" s="4" t="str">
        <f t="shared" si="6"/>
        <v>1</v>
      </c>
      <c r="R26" s="3" t="s">
        <v>49</v>
      </c>
      <c r="S26" s="4" t="str">
        <f t="shared" si="7"/>
        <v>1</v>
      </c>
      <c r="T26" s="3" t="s">
        <v>49</v>
      </c>
      <c r="U26" s="4" t="str">
        <f t="shared" si="8"/>
        <v>1</v>
      </c>
    </row>
    <row r="27">
      <c r="A27" s="3" t="s">
        <v>21</v>
      </c>
      <c r="B27" s="3">
        <v>26.0</v>
      </c>
      <c r="C27" s="3" t="s">
        <v>103</v>
      </c>
      <c r="D27" s="3" t="s">
        <v>58</v>
      </c>
      <c r="E27" s="3" t="s">
        <v>103</v>
      </c>
      <c r="F27" s="3" t="s">
        <v>103</v>
      </c>
      <c r="G27" s="4" t="str">
        <f t="shared" si="1"/>
        <v>1</v>
      </c>
      <c r="H27" s="3" t="s">
        <v>58</v>
      </c>
      <c r="I27" s="4" t="str">
        <f t="shared" si="2"/>
        <v>0</v>
      </c>
      <c r="J27" s="3" t="s">
        <v>58</v>
      </c>
      <c r="K27" s="4" t="str">
        <f t="shared" si="3"/>
        <v>0</v>
      </c>
      <c r="L27" s="3" t="s">
        <v>58</v>
      </c>
      <c r="M27" s="4" t="str">
        <f t="shared" si="4"/>
        <v>0</v>
      </c>
      <c r="N27" s="3" t="s">
        <v>58</v>
      </c>
      <c r="O27" s="4" t="str">
        <f t="shared" si="5"/>
        <v>0</v>
      </c>
      <c r="P27" s="3" t="s">
        <v>58</v>
      </c>
      <c r="Q27" s="4" t="str">
        <f t="shared" si="6"/>
        <v>0</v>
      </c>
      <c r="R27" s="3" t="s">
        <v>145</v>
      </c>
      <c r="S27" s="4" t="str">
        <f t="shared" si="7"/>
        <v>0</v>
      </c>
      <c r="T27" s="3" t="s">
        <v>103</v>
      </c>
      <c r="U27" s="4" t="str">
        <f t="shared" si="8"/>
        <v>1</v>
      </c>
    </row>
    <row r="28">
      <c r="A28" s="3" t="s">
        <v>21</v>
      </c>
      <c r="B28" s="3">
        <v>27.0</v>
      </c>
      <c r="C28" s="3" t="s">
        <v>22</v>
      </c>
      <c r="D28" s="3" t="s">
        <v>146</v>
      </c>
      <c r="E28" s="3" t="s">
        <v>22</v>
      </c>
      <c r="F28" s="3" t="s">
        <v>22</v>
      </c>
      <c r="G28" s="4" t="str">
        <f t="shared" si="1"/>
        <v>1</v>
      </c>
      <c r="H28" s="3" t="s">
        <v>22</v>
      </c>
      <c r="I28" s="4" t="str">
        <f t="shared" si="2"/>
        <v>1</v>
      </c>
      <c r="J28" s="3" t="s">
        <v>22</v>
      </c>
      <c r="K28" s="4" t="str">
        <f t="shared" si="3"/>
        <v>1</v>
      </c>
      <c r="L28" s="3" t="s">
        <v>22</v>
      </c>
      <c r="M28" s="4" t="str">
        <f t="shared" si="4"/>
        <v>1</v>
      </c>
      <c r="N28" s="3" t="s">
        <v>22</v>
      </c>
      <c r="O28" s="4" t="str">
        <f t="shared" si="5"/>
        <v>1</v>
      </c>
      <c r="P28" s="3" t="s">
        <v>22</v>
      </c>
      <c r="Q28" s="4" t="str">
        <f t="shared" si="6"/>
        <v>1</v>
      </c>
      <c r="R28" s="3" t="s">
        <v>22</v>
      </c>
      <c r="S28" s="4" t="str">
        <f t="shared" si="7"/>
        <v>1</v>
      </c>
      <c r="T28" s="3" t="s">
        <v>22</v>
      </c>
      <c r="U28" s="4" t="str">
        <f t="shared" si="8"/>
        <v>1</v>
      </c>
    </row>
    <row r="29">
      <c r="A29" s="3" t="s">
        <v>21</v>
      </c>
      <c r="B29" s="3">
        <v>28.0</v>
      </c>
      <c r="C29" s="3" t="s">
        <v>73</v>
      </c>
      <c r="D29" s="3" t="s">
        <v>147</v>
      </c>
      <c r="E29" s="3" t="s">
        <v>73</v>
      </c>
      <c r="F29" s="3" t="s">
        <v>73</v>
      </c>
      <c r="G29" s="4" t="str">
        <f t="shared" si="1"/>
        <v>1</v>
      </c>
      <c r="H29" s="3" t="s">
        <v>73</v>
      </c>
      <c r="I29" s="4" t="str">
        <f t="shared" si="2"/>
        <v>1</v>
      </c>
      <c r="J29" s="3" t="s">
        <v>73</v>
      </c>
      <c r="K29" s="4" t="str">
        <f t="shared" si="3"/>
        <v>1</v>
      </c>
      <c r="L29" s="3" t="s">
        <v>73</v>
      </c>
      <c r="M29" s="4" t="str">
        <f t="shared" si="4"/>
        <v>1</v>
      </c>
      <c r="N29" s="3" t="s">
        <v>73</v>
      </c>
      <c r="O29" s="4" t="str">
        <f t="shared" si="5"/>
        <v>1</v>
      </c>
      <c r="P29" s="3" t="s">
        <v>73</v>
      </c>
      <c r="Q29" s="4" t="str">
        <f t="shared" si="6"/>
        <v>1</v>
      </c>
      <c r="R29" s="3" t="s">
        <v>73</v>
      </c>
      <c r="S29" s="4" t="str">
        <f t="shared" si="7"/>
        <v>1</v>
      </c>
      <c r="T29" s="3" t="s">
        <v>73</v>
      </c>
      <c r="U29" s="4" t="str">
        <f t="shared" si="8"/>
        <v>1</v>
      </c>
    </row>
    <row r="30">
      <c r="A30" s="3" t="s">
        <v>21</v>
      </c>
      <c r="B30" s="3">
        <v>29.0</v>
      </c>
      <c r="C30" s="3" t="s">
        <v>148</v>
      </c>
      <c r="D30" s="3" t="s">
        <v>149</v>
      </c>
      <c r="E30" s="3" t="s">
        <v>149</v>
      </c>
      <c r="F30" s="3" t="s">
        <v>148</v>
      </c>
      <c r="G30" s="4" t="str">
        <f t="shared" si="1"/>
        <v>0</v>
      </c>
      <c r="H30" s="3" t="s">
        <v>149</v>
      </c>
      <c r="I30" s="4" t="str">
        <f t="shared" si="2"/>
        <v>1</v>
      </c>
      <c r="J30" s="3" t="s">
        <v>149</v>
      </c>
      <c r="K30" s="4" t="str">
        <f t="shared" si="3"/>
        <v>1</v>
      </c>
      <c r="L30" s="3" t="s">
        <v>149</v>
      </c>
      <c r="M30" s="4" t="str">
        <f t="shared" si="4"/>
        <v>1</v>
      </c>
      <c r="N30" s="3" t="s">
        <v>148</v>
      </c>
      <c r="O30" s="4" t="str">
        <f t="shared" si="5"/>
        <v>0</v>
      </c>
      <c r="P30" s="3" t="s">
        <v>149</v>
      </c>
      <c r="Q30" s="4" t="str">
        <f t="shared" si="6"/>
        <v>1</v>
      </c>
      <c r="R30" s="3" t="s">
        <v>148</v>
      </c>
      <c r="S30" s="4" t="str">
        <f t="shared" si="7"/>
        <v>0</v>
      </c>
      <c r="T30" s="3" t="s">
        <v>148</v>
      </c>
      <c r="U30" s="4" t="str">
        <f t="shared" si="8"/>
        <v>0</v>
      </c>
    </row>
    <row r="31">
      <c r="A31" s="3" t="s">
        <v>21</v>
      </c>
      <c r="B31" s="3">
        <v>30.0</v>
      </c>
      <c r="C31" s="3" t="s">
        <v>76</v>
      </c>
      <c r="D31" s="3" t="s">
        <v>46</v>
      </c>
      <c r="E31" s="3" t="s">
        <v>76</v>
      </c>
      <c r="F31" s="3" t="s">
        <v>76</v>
      </c>
      <c r="G31" s="4" t="str">
        <f t="shared" si="1"/>
        <v>1</v>
      </c>
      <c r="H31" s="3" t="s">
        <v>76</v>
      </c>
      <c r="I31" s="4" t="str">
        <f t="shared" si="2"/>
        <v>1</v>
      </c>
      <c r="J31" s="3" t="s">
        <v>76</v>
      </c>
      <c r="K31" s="4" t="str">
        <f t="shared" si="3"/>
        <v>1</v>
      </c>
      <c r="L31" s="3" t="s">
        <v>76</v>
      </c>
      <c r="M31" s="4" t="str">
        <f t="shared" si="4"/>
        <v>1</v>
      </c>
      <c r="N31" s="3" t="s">
        <v>76</v>
      </c>
      <c r="O31" s="4" t="str">
        <f t="shared" si="5"/>
        <v>1</v>
      </c>
      <c r="P31" s="3" t="s">
        <v>76</v>
      </c>
      <c r="Q31" s="4" t="str">
        <f t="shared" si="6"/>
        <v>1</v>
      </c>
      <c r="R31" s="3" t="s">
        <v>76</v>
      </c>
      <c r="S31" s="4" t="str">
        <f t="shared" si="7"/>
        <v>1</v>
      </c>
      <c r="T31" s="3" t="s">
        <v>76</v>
      </c>
      <c r="U31" s="4" t="str">
        <f t="shared" si="8"/>
        <v>1</v>
      </c>
    </row>
    <row r="32">
      <c r="A32" s="3" t="s">
        <v>21</v>
      </c>
      <c r="B32" s="3">
        <v>31.0</v>
      </c>
      <c r="C32" s="3" t="s">
        <v>47</v>
      </c>
      <c r="D32" s="3" t="s">
        <v>64</v>
      </c>
      <c r="E32" s="3" t="s">
        <v>47</v>
      </c>
      <c r="F32" s="3" t="s">
        <v>47</v>
      </c>
      <c r="G32" s="4" t="str">
        <f t="shared" si="1"/>
        <v>1</v>
      </c>
      <c r="H32" s="3" t="s">
        <v>64</v>
      </c>
      <c r="I32" s="4" t="str">
        <f t="shared" si="2"/>
        <v>0</v>
      </c>
      <c r="J32" s="3" t="s">
        <v>47</v>
      </c>
      <c r="K32" s="4" t="str">
        <f t="shared" si="3"/>
        <v>1</v>
      </c>
      <c r="L32" s="3" t="s">
        <v>64</v>
      </c>
      <c r="M32" s="4" t="str">
        <f t="shared" si="4"/>
        <v>0</v>
      </c>
      <c r="N32" s="3" t="s">
        <v>47</v>
      </c>
      <c r="O32" s="4" t="str">
        <f t="shared" si="5"/>
        <v>1</v>
      </c>
      <c r="P32" s="3" t="s">
        <v>47</v>
      </c>
      <c r="Q32" s="4" t="str">
        <f t="shared" si="6"/>
        <v>1</v>
      </c>
      <c r="R32" s="3" t="s">
        <v>64</v>
      </c>
      <c r="S32" s="4" t="str">
        <f t="shared" si="7"/>
        <v>0</v>
      </c>
      <c r="T32" s="3" t="s">
        <v>47</v>
      </c>
      <c r="U32" s="4" t="str">
        <f t="shared" si="8"/>
        <v>1</v>
      </c>
    </row>
    <row r="33">
      <c r="A33" s="3" t="s">
        <v>21</v>
      </c>
      <c r="B33" s="3">
        <v>32.0</v>
      </c>
      <c r="C33" s="3" t="s">
        <v>66</v>
      </c>
      <c r="D33" s="3" t="s">
        <v>54</v>
      </c>
      <c r="E33" s="3" t="s">
        <v>66</v>
      </c>
      <c r="F33" s="3" t="s">
        <v>66</v>
      </c>
      <c r="G33" s="4" t="str">
        <f t="shared" si="1"/>
        <v>1</v>
      </c>
      <c r="H33" s="3" t="s">
        <v>66</v>
      </c>
      <c r="I33" s="4" t="str">
        <f t="shared" si="2"/>
        <v>1</v>
      </c>
      <c r="J33" s="3" t="s">
        <v>66</v>
      </c>
      <c r="K33" s="4" t="str">
        <f t="shared" si="3"/>
        <v>1</v>
      </c>
      <c r="L33" s="3" t="s">
        <v>66</v>
      </c>
      <c r="M33" s="4" t="str">
        <f t="shared" si="4"/>
        <v>1</v>
      </c>
      <c r="N33" s="3" t="s">
        <v>66</v>
      </c>
      <c r="O33" s="4" t="str">
        <f t="shared" si="5"/>
        <v>1</v>
      </c>
      <c r="P33" s="3" t="s">
        <v>66</v>
      </c>
      <c r="Q33" s="4" t="str">
        <f t="shared" si="6"/>
        <v>1</v>
      </c>
      <c r="R33" s="3" t="s">
        <v>66</v>
      </c>
      <c r="S33" s="4" t="str">
        <f t="shared" si="7"/>
        <v>1</v>
      </c>
      <c r="T33" s="3" t="s">
        <v>66</v>
      </c>
      <c r="U33" s="4" t="str">
        <f t="shared" si="8"/>
        <v>1</v>
      </c>
    </row>
    <row r="34">
      <c r="A34" s="3" t="s">
        <v>89</v>
      </c>
      <c r="B34" s="3">
        <v>1.0</v>
      </c>
      <c r="C34" s="3" t="s">
        <v>26</v>
      </c>
      <c r="D34" s="3" t="s">
        <v>123</v>
      </c>
      <c r="E34" s="3" t="s">
        <v>26</v>
      </c>
      <c r="F34" s="3" t="s">
        <v>26</v>
      </c>
      <c r="G34" s="4" t="str">
        <f t="shared" si="1"/>
        <v>1</v>
      </c>
      <c r="H34" s="3" t="s">
        <v>26</v>
      </c>
      <c r="I34" s="4" t="str">
        <f t="shared" si="2"/>
        <v>1</v>
      </c>
      <c r="J34" s="3" t="s">
        <v>124</v>
      </c>
      <c r="K34" s="4" t="str">
        <f t="shared" si="3"/>
        <v>0</v>
      </c>
      <c r="L34" s="3" t="s">
        <v>26</v>
      </c>
      <c r="M34" s="4" t="str">
        <f t="shared" si="4"/>
        <v>1</v>
      </c>
      <c r="N34" s="3" t="s">
        <v>26</v>
      </c>
      <c r="O34" s="4" t="str">
        <f t="shared" si="5"/>
        <v>1</v>
      </c>
      <c r="P34" s="3" t="s">
        <v>26</v>
      </c>
      <c r="Q34" s="4" t="str">
        <f t="shared" si="6"/>
        <v>1</v>
      </c>
      <c r="R34" s="3" t="s">
        <v>26</v>
      </c>
      <c r="S34" s="4" t="str">
        <f t="shared" si="7"/>
        <v>1</v>
      </c>
      <c r="T34" s="3" t="s">
        <v>26</v>
      </c>
      <c r="U34" s="4" t="str">
        <f t="shared" si="8"/>
        <v>1</v>
      </c>
    </row>
    <row r="35">
      <c r="A35" s="3" t="s">
        <v>89</v>
      </c>
      <c r="B35" s="3">
        <v>2.0</v>
      </c>
      <c r="C35" s="3" t="s">
        <v>75</v>
      </c>
      <c r="D35" s="3" t="s">
        <v>50</v>
      </c>
      <c r="E35" s="3" t="s">
        <v>75</v>
      </c>
      <c r="F35" s="3" t="s">
        <v>87</v>
      </c>
      <c r="G35" s="4" t="str">
        <f t="shared" si="1"/>
        <v>0</v>
      </c>
      <c r="H35" s="3" t="s">
        <v>87</v>
      </c>
      <c r="I35" s="4" t="str">
        <f t="shared" si="2"/>
        <v>0</v>
      </c>
      <c r="J35" s="3" t="s">
        <v>75</v>
      </c>
      <c r="K35" s="4" t="str">
        <f t="shared" si="3"/>
        <v>1</v>
      </c>
      <c r="L35" s="3" t="s">
        <v>75</v>
      </c>
      <c r="M35" s="4" t="str">
        <f t="shared" si="4"/>
        <v>1</v>
      </c>
      <c r="N35" s="3" t="s">
        <v>75</v>
      </c>
      <c r="O35" s="4" t="str">
        <f t="shared" si="5"/>
        <v>1</v>
      </c>
      <c r="P35" s="3" t="s">
        <v>75</v>
      </c>
      <c r="Q35" s="4" t="str">
        <f t="shared" si="6"/>
        <v>1</v>
      </c>
      <c r="R35" s="3" t="s">
        <v>75</v>
      </c>
      <c r="S35" s="4" t="str">
        <f t="shared" si="7"/>
        <v>1</v>
      </c>
      <c r="T35" s="3" t="s">
        <v>87</v>
      </c>
      <c r="U35" s="4" t="str">
        <f t="shared" si="8"/>
        <v>0</v>
      </c>
    </row>
    <row r="36">
      <c r="A36" s="3" t="s">
        <v>89</v>
      </c>
      <c r="B36" s="3">
        <v>3.0</v>
      </c>
      <c r="C36" s="3" t="s">
        <v>150</v>
      </c>
      <c r="D36" s="3" t="s">
        <v>61</v>
      </c>
      <c r="E36" s="3" t="s">
        <v>61</v>
      </c>
      <c r="F36" s="3" t="s">
        <v>127</v>
      </c>
      <c r="G36" s="4" t="str">
        <f t="shared" si="1"/>
        <v>0</v>
      </c>
      <c r="H36" s="3" t="s">
        <v>63</v>
      </c>
      <c r="I36" s="4" t="str">
        <f t="shared" si="2"/>
        <v>0</v>
      </c>
      <c r="J36" s="3" t="s">
        <v>63</v>
      </c>
      <c r="K36" s="4" t="str">
        <f t="shared" si="3"/>
        <v>0</v>
      </c>
      <c r="L36" s="3" t="s">
        <v>63</v>
      </c>
      <c r="M36" s="4" t="str">
        <f t="shared" si="4"/>
        <v>0</v>
      </c>
      <c r="N36" s="3" t="s">
        <v>63</v>
      </c>
      <c r="O36" s="4" t="str">
        <f t="shared" si="5"/>
        <v>0</v>
      </c>
      <c r="P36" s="3" t="s">
        <v>127</v>
      </c>
      <c r="Q36" s="4" t="str">
        <f t="shared" si="6"/>
        <v>0</v>
      </c>
      <c r="R36" s="3" t="s">
        <v>63</v>
      </c>
      <c r="S36" s="4" t="str">
        <f t="shared" si="7"/>
        <v>0</v>
      </c>
      <c r="T36" s="3" t="s">
        <v>63</v>
      </c>
      <c r="U36" s="4" t="str">
        <f t="shared" si="8"/>
        <v>0</v>
      </c>
    </row>
    <row r="37">
      <c r="A37" s="3" t="s">
        <v>89</v>
      </c>
      <c r="B37" s="3">
        <v>4.0</v>
      </c>
      <c r="C37" s="3" t="s">
        <v>130</v>
      </c>
      <c r="D37" s="3" t="s">
        <v>82</v>
      </c>
      <c r="E37" s="3" t="s">
        <v>82</v>
      </c>
      <c r="F37" s="3" t="s">
        <v>82</v>
      </c>
      <c r="G37" s="4" t="str">
        <f t="shared" si="1"/>
        <v>1</v>
      </c>
      <c r="H37" s="3" t="s">
        <v>82</v>
      </c>
      <c r="I37" s="4" t="str">
        <f t="shared" si="2"/>
        <v>1</v>
      </c>
      <c r="J37" s="3" t="s">
        <v>82</v>
      </c>
      <c r="K37" s="4" t="str">
        <f t="shared" si="3"/>
        <v>1</v>
      </c>
      <c r="L37" s="3" t="s">
        <v>82</v>
      </c>
      <c r="M37" s="4" t="str">
        <f t="shared" si="4"/>
        <v>1</v>
      </c>
      <c r="N37" s="3" t="s">
        <v>82</v>
      </c>
      <c r="O37" s="4" t="str">
        <f t="shared" si="5"/>
        <v>1</v>
      </c>
      <c r="P37" s="3" t="s">
        <v>82</v>
      </c>
      <c r="Q37" s="4" t="str">
        <f t="shared" si="6"/>
        <v>1</v>
      </c>
      <c r="R37" s="3" t="s">
        <v>82</v>
      </c>
      <c r="S37" s="4" t="str">
        <f t="shared" si="7"/>
        <v>1</v>
      </c>
      <c r="T37" s="3" t="s">
        <v>82</v>
      </c>
      <c r="U37" s="4" t="str">
        <f t="shared" si="8"/>
        <v>1</v>
      </c>
    </row>
    <row r="38">
      <c r="A38" s="3" t="s">
        <v>89</v>
      </c>
      <c r="B38" s="3">
        <v>5.0</v>
      </c>
      <c r="C38" s="3" t="s">
        <v>40</v>
      </c>
      <c r="D38" s="3" t="s">
        <v>34</v>
      </c>
      <c r="E38" s="3" t="s">
        <v>40</v>
      </c>
      <c r="F38" s="3" t="s">
        <v>42</v>
      </c>
      <c r="G38" s="4" t="str">
        <f t="shared" si="1"/>
        <v>0</v>
      </c>
      <c r="H38" s="3" t="s">
        <v>42</v>
      </c>
      <c r="I38" s="4" t="str">
        <f t="shared" si="2"/>
        <v>0</v>
      </c>
      <c r="J38" s="3" t="s">
        <v>34</v>
      </c>
      <c r="K38" s="4" t="str">
        <f t="shared" si="3"/>
        <v>0</v>
      </c>
      <c r="L38" s="3" t="s">
        <v>42</v>
      </c>
      <c r="M38" s="4" t="str">
        <f t="shared" si="4"/>
        <v>0</v>
      </c>
      <c r="N38" s="3" t="s">
        <v>34</v>
      </c>
      <c r="O38" s="4" t="str">
        <f t="shared" si="5"/>
        <v>0</v>
      </c>
      <c r="P38" s="3" t="s">
        <v>34</v>
      </c>
      <c r="Q38" s="4" t="str">
        <f t="shared" si="6"/>
        <v>0</v>
      </c>
      <c r="R38" s="3" t="s">
        <v>42</v>
      </c>
      <c r="S38" s="4" t="str">
        <f t="shared" si="7"/>
        <v>0</v>
      </c>
      <c r="T38" s="3" t="s">
        <v>42</v>
      </c>
      <c r="U38" s="4" t="str">
        <f t="shared" si="8"/>
        <v>0</v>
      </c>
    </row>
    <row r="39">
      <c r="A39" s="3" t="s">
        <v>89</v>
      </c>
      <c r="B39" s="3">
        <v>6.0</v>
      </c>
      <c r="C39" s="3" t="s">
        <v>122</v>
      </c>
      <c r="D39" s="3" t="s">
        <v>30</v>
      </c>
      <c r="E39" s="3" t="s">
        <v>30</v>
      </c>
      <c r="F39" s="3" t="s">
        <v>30</v>
      </c>
      <c r="G39" s="4" t="str">
        <f t="shared" si="1"/>
        <v>1</v>
      </c>
      <c r="H39" s="3" t="s">
        <v>30</v>
      </c>
      <c r="I39" s="4" t="str">
        <f t="shared" si="2"/>
        <v>1</v>
      </c>
      <c r="J39" s="3" t="s">
        <v>30</v>
      </c>
      <c r="K39" s="4" t="str">
        <f t="shared" si="3"/>
        <v>1</v>
      </c>
      <c r="L39" s="3" t="s">
        <v>30</v>
      </c>
      <c r="M39" s="4" t="str">
        <f t="shared" si="4"/>
        <v>1</v>
      </c>
      <c r="N39" s="3" t="s">
        <v>30</v>
      </c>
      <c r="O39" s="4" t="str">
        <f t="shared" si="5"/>
        <v>1</v>
      </c>
      <c r="P39" s="3" t="s">
        <v>30</v>
      </c>
      <c r="Q39" s="4" t="str">
        <f t="shared" si="6"/>
        <v>1</v>
      </c>
      <c r="R39" s="3" t="s">
        <v>30</v>
      </c>
      <c r="S39" s="4" t="str">
        <f t="shared" si="7"/>
        <v>1</v>
      </c>
      <c r="T39" s="3" t="s">
        <v>30</v>
      </c>
      <c r="U39" s="4" t="str">
        <f t="shared" si="8"/>
        <v>1</v>
      </c>
    </row>
    <row r="40">
      <c r="A40" s="3" t="s">
        <v>89</v>
      </c>
      <c r="B40" s="3">
        <v>7.0</v>
      </c>
      <c r="C40" s="3" t="s">
        <v>133</v>
      </c>
      <c r="D40" s="3" t="s">
        <v>38</v>
      </c>
      <c r="E40" s="3" t="s">
        <v>133</v>
      </c>
      <c r="F40" s="3" t="s">
        <v>38</v>
      </c>
      <c r="G40" s="4" t="str">
        <f t="shared" si="1"/>
        <v>0</v>
      </c>
      <c r="H40" s="3" t="s">
        <v>38</v>
      </c>
      <c r="I40" s="4" t="str">
        <f t="shared" si="2"/>
        <v>0</v>
      </c>
      <c r="J40" s="3" t="s">
        <v>38</v>
      </c>
      <c r="K40" s="4" t="str">
        <f t="shared" si="3"/>
        <v>0</v>
      </c>
      <c r="L40" s="3" t="s">
        <v>38</v>
      </c>
      <c r="M40" s="4" t="str">
        <f t="shared" si="4"/>
        <v>0</v>
      </c>
      <c r="N40" s="3" t="s">
        <v>38</v>
      </c>
      <c r="O40" s="4" t="str">
        <f t="shared" si="5"/>
        <v>0</v>
      </c>
      <c r="P40" s="3" t="s">
        <v>38</v>
      </c>
      <c r="Q40" s="4" t="str">
        <f t="shared" si="6"/>
        <v>0</v>
      </c>
      <c r="R40" s="3" t="s">
        <v>38</v>
      </c>
      <c r="S40" s="4" t="str">
        <f t="shared" si="7"/>
        <v>0</v>
      </c>
      <c r="T40" s="3" t="s">
        <v>38</v>
      </c>
      <c r="U40" s="4" t="str">
        <f t="shared" si="8"/>
        <v>0</v>
      </c>
    </row>
    <row r="41">
      <c r="A41" s="3" t="s">
        <v>89</v>
      </c>
      <c r="B41" s="3">
        <v>8.0</v>
      </c>
      <c r="C41" s="3" t="s">
        <v>135</v>
      </c>
      <c r="D41" s="3" t="s">
        <v>55</v>
      </c>
      <c r="E41" s="3" t="s">
        <v>55</v>
      </c>
      <c r="F41" s="3" t="s">
        <v>55</v>
      </c>
      <c r="G41" s="4" t="str">
        <f t="shared" si="1"/>
        <v>1</v>
      </c>
      <c r="H41" s="3" t="s">
        <v>55</v>
      </c>
      <c r="I41" s="4" t="str">
        <f t="shared" si="2"/>
        <v>1</v>
      </c>
      <c r="J41" s="3" t="s">
        <v>55</v>
      </c>
      <c r="K41" s="4" t="str">
        <f t="shared" si="3"/>
        <v>1</v>
      </c>
      <c r="L41" s="3" t="s">
        <v>55</v>
      </c>
      <c r="M41" s="4" t="str">
        <f t="shared" si="4"/>
        <v>1</v>
      </c>
      <c r="N41" s="3" t="s">
        <v>55</v>
      </c>
      <c r="O41" s="4" t="str">
        <f t="shared" si="5"/>
        <v>1</v>
      </c>
      <c r="P41" s="3" t="s">
        <v>55</v>
      </c>
      <c r="Q41" s="4" t="str">
        <f t="shared" si="6"/>
        <v>1</v>
      </c>
      <c r="R41" s="3" t="s">
        <v>55</v>
      </c>
      <c r="S41" s="4" t="str">
        <f t="shared" si="7"/>
        <v>1</v>
      </c>
      <c r="T41" s="3" t="s">
        <v>55</v>
      </c>
      <c r="U41" s="4" t="str">
        <f t="shared" si="8"/>
        <v>1</v>
      </c>
    </row>
    <row r="42">
      <c r="A42" s="3" t="s">
        <v>89</v>
      </c>
      <c r="B42" s="3">
        <v>9.0</v>
      </c>
      <c r="C42" s="3" t="s">
        <v>59</v>
      </c>
      <c r="D42" s="3" t="s">
        <v>116</v>
      </c>
      <c r="E42" s="3" t="s">
        <v>59</v>
      </c>
      <c r="F42" s="3" t="s">
        <v>59</v>
      </c>
      <c r="G42" s="4" t="str">
        <f t="shared" si="1"/>
        <v>1</v>
      </c>
      <c r="H42" s="3" t="s">
        <v>59</v>
      </c>
      <c r="I42" s="4" t="str">
        <f t="shared" si="2"/>
        <v>1</v>
      </c>
      <c r="J42" s="3" t="s">
        <v>59</v>
      </c>
      <c r="K42" s="4" t="str">
        <f t="shared" si="3"/>
        <v>1</v>
      </c>
      <c r="L42" s="3" t="s">
        <v>59</v>
      </c>
      <c r="M42" s="4" t="str">
        <f t="shared" si="4"/>
        <v>1</v>
      </c>
      <c r="N42" s="3" t="s">
        <v>59</v>
      </c>
      <c r="O42" s="4" t="str">
        <f t="shared" si="5"/>
        <v>1</v>
      </c>
      <c r="P42" s="3" t="s">
        <v>116</v>
      </c>
      <c r="Q42" s="4" t="str">
        <f t="shared" si="6"/>
        <v>0</v>
      </c>
      <c r="R42" s="3" t="s">
        <v>59</v>
      </c>
      <c r="S42" s="4" t="str">
        <f t="shared" si="7"/>
        <v>1</v>
      </c>
      <c r="T42" s="3" t="s">
        <v>59</v>
      </c>
      <c r="U42" s="4" t="str">
        <f t="shared" si="8"/>
        <v>1</v>
      </c>
    </row>
    <row r="43">
      <c r="A43" s="3" t="s">
        <v>89</v>
      </c>
      <c r="B43" s="3">
        <v>10.0</v>
      </c>
      <c r="C43" s="3" t="s">
        <v>139</v>
      </c>
      <c r="D43" s="3" t="s">
        <v>36</v>
      </c>
      <c r="E43" s="3" t="s">
        <v>36</v>
      </c>
      <c r="F43" s="3" t="s">
        <v>36</v>
      </c>
      <c r="G43" s="4" t="str">
        <f t="shared" si="1"/>
        <v>1</v>
      </c>
      <c r="H43" s="3" t="s">
        <v>36</v>
      </c>
      <c r="I43" s="4" t="str">
        <f t="shared" si="2"/>
        <v>1</v>
      </c>
      <c r="J43" s="3" t="s">
        <v>83</v>
      </c>
      <c r="K43" s="4" t="str">
        <f t="shared" si="3"/>
        <v>0</v>
      </c>
      <c r="L43" s="3" t="s">
        <v>83</v>
      </c>
      <c r="M43" s="4" t="str">
        <f t="shared" si="4"/>
        <v>0</v>
      </c>
      <c r="N43" s="3" t="s">
        <v>83</v>
      </c>
      <c r="O43" s="4" t="str">
        <f t="shared" si="5"/>
        <v>0</v>
      </c>
      <c r="P43" s="3" t="s">
        <v>83</v>
      </c>
      <c r="Q43" s="4" t="str">
        <f t="shared" si="6"/>
        <v>0</v>
      </c>
      <c r="R43" s="3" t="s">
        <v>36</v>
      </c>
      <c r="S43" s="4" t="str">
        <f t="shared" si="7"/>
        <v>1</v>
      </c>
      <c r="T43" s="3" t="s">
        <v>83</v>
      </c>
      <c r="U43" s="4" t="str">
        <f t="shared" si="8"/>
        <v>0</v>
      </c>
    </row>
    <row r="44">
      <c r="A44" s="3" t="s">
        <v>89</v>
      </c>
      <c r="B44" s="3">
        <v>11.0</v>
      </c>
      <c r="C44" s="3" t="s">
        <v>100</v>
      </c>
      <c r="D44" s="3" t="s">
        <v>140</v>
      </c>
      <c r="E44" s="3" t="s">
        <v>100</v>
      </c>
      <c r="F44" s="3" t="s">
        <v>53</v>
      </c>
      <c r="G44" s="4" t="str">
        <f t="shared" si="1"/>
        <v>0</v>
      </c>
      <c r="H44" s="3" t="s">
        <v>53</v>
      </c>
      <c r="I44" s="4" t="str">
        <f t="shared" si="2"/>
        <v>0</v>
      </c>
      <c r="J44" s="3" t="s">
        <v>32</v>
      </c>
      <c r="K44" s="4" t="str">
        <f t="shared" si="3"/>
        <v>0</v>
      </c>
      <c r="L44" s="3" t="s">
        <v>32</v>
      </c>
      <c r="M44" s="4" t="str">
        <f t="shared" si="4"/>
        <v>0</v>
      </c>
      <c r="N44" s="3" t="s">
        <v>32</v>
      </c>
      <c r="O44" s="4" t="str">
        <f t="shared" si="5"/>
        <v>0</v>
      </c>
      <c r="P44" s="3" t="s">
        <v>32</v>
      </c>
      <c r="Q44" s="4" t="str">
        <f t="shared" si="6"/>
        <v>0</v>
      </c>
      <c r="R44" s="3" t="s">
        <v>32</v>
      </c>
      <c r="S44" s="4" t="str">
        <f t="shared" si="7"/>
        <v>0</v>
      </c>
      <c r="T44" s="3" t="s">
        <v>53</v>
      </c>
      <c r="U44" s="4" t="str">
        <f t="shared" si="8"/>
        <v>0</v>
      </c>
    </row>
    <row r="45">
      <c r="A45" s="3" t="s">
        <v>89</v>
      </c>
      <c r="B45" s="3">
        <v>12.0</v>
      </c>
      <c r="C45" s="3" t="s">
        <v>142</v>
      </c>
      <c r="D45" s="3" t="s">
        <v>41</v>
      </c>
      <c r="E45" s="3" t="s">
        <v>41</v>
      </c>
      <c r="F45" s="3" t="s">
        <v>41</v>
      </c>
      <c r="G45" s="4" t="str">
        <f t="shared" si="1"/>
        <v>1</v>
      </c>
      <c r="H45" s="3" t="s">
        <v>41</v>
      </c>
      <c r="I45" s="4" t="str">
        <f t="shared" si="2"/>
        <v>1</v>
      </c>
      <c r="J45" s="3" t="s">
        <v>41</v>
      </c>
      <c r="K45" s="4" t="str">
        <f t="shared" si="3"/>
        <v>1</v>
      </c>
      <c r="L45" s="3" t="s">
        <v>41</v>
      </c>
      <c r="M45" s="4" t="str">
        <f t="shared" si="4"/>
        <v>1</v>
      </c>
      <c r="N45" s="3" t="s">
        <v>41</v>
      </c>
      <c r="O45" s="4" t="str">
        <f t="shared" si="5"/>
        <v>1</v>
      </c>
      <c r="P45" s="3" t="s">
        <v>41</v>
      </c>
      <c r="Q45" s="4" t="str">
        <f t="shared" si="6"/>
        <v>1</v>
      </c>
      <c r="R45" s="3" t="s">
        <v>41</v>
      </c>
      <c r="S45" s="4" t="str">
        <f t="shared" si="7"/>
        <v>1</v>
      </c>
      <c r="T45" s="3" t="s">
        <v>41</v>
      </c>
      <c r="U45" s="4" t="str">
        <f t="shared" si="8"/>
        <v>1</v>
      </c>
    </row>
    <row r="46">
      <c r="A46" s="3" t="s">
        <v>89</v>
      </c>
      <c r="B46" s="3">
        <v>13.0</v>
      </c>
      <c r="C46" s="3" t="s">
        <v>49</v>
      </c>
      <c r="D46" s="3" t="s">
        <v>103</v>
      </c>
      <c r="E46" s="3" t="s">
        <v>49</v>
      </c>
      <c r="F46" s="3" t="s">
        <v>49</v>
      </c>
      <c r="G46" s="4" t="str">
        <f t="shared" si="1"/>
        <v>1</v>
      </c>
      <c r="H46" s="3" t="s">
        <v>49</v>
      </c>
      <c r="I46" s="4" t="str">
        <f t="shared" si="2"/>
        <v>1</v>
      </c>
      <c r="J46" s="3" t="s">
        <v>49</v>
      </c>
      <c r="K46" s="4" t="str">
        <f t="shared" si="3"/>
        <v>1</v>
      </c>
      <c r="L46" s="3" t="s">
        <v>49</v>
      </c>
      <c r="M46" s="4" t="str">
        <f t="shared" si="4"/>
        <v>1</v>
      </c>
      <c r="N46" s="3" t="s">
        <v>49</v>
      </c>
      <c r="O46" s="4" t="str">
        <f t="shared" si="5"/>
        <v>1</v>
      </c>
      <c r="P46" s="3" t="s">
        <v>49</v>
      </c>
      <c r="Q46" s="4" t="str">
        <f t="shared" si="6"/>
        <v>1</v>
      </c>
      <c r="R46" s="3" t="s">
        <v>49</v>
      </c>
      <c r="S46" s="4" t="str">
        <f t="shared" si="7"/>
        <v>1</v>
      </c>
      <c r="T46" s="3" t="s">
        <v>49</v>
      </c>
      <c r="U46" s="4" t="str">
        <f t="shared" si="8"/>
        <v>1</v>
      </c>
    </row>
    <row r="47">
      <c r="A47" s="3" t="s">
        <v>89</v>
      </c>
      <c r="B47" s="3">
        <v>14.0</v>
      </c>
      <c r="C47" s="3" t="s">
        <v>22</v>
      </c>
      <c r="D47" s="3" t="s">
        <v>73</v>
      </c>
      <c r="E47" s="3" t="s">
        <v>22</v>
      </c>
      <c r="F47" s="3" t="s">
        <v>22</v>
      </c>
      <c r="G47" s="4" t="str">
        <f t="shared" si="1"/>
        <v>1</v>
      </c>
      <c r="H47" s="3" t="s">
        <v>73</v>
      </c>
      <c r="I47" s="4" t="str">
        <f t="shared" si="2"/>
        <v>0</v>
      </c>
      <c r="J47" s="3" t="s">
        <v>73</v>
      </c>
      <c r="K47" s="4" t="str">
        <f t="shared" si="3"/>
        <v>0</v>
      </c>
      <c r="L47" s="3" t="s">
        <v>73</v>
      </c>
      <c r="M47" s="4" t="str">
        <f t="shared" si="4"/>
        <v>0</v>
      </c>
      <c r="N47" s="3" t="s">
        <v>73</v>
      </c>
      <c r="O47" s="4" t="str">
        <f t="shared" si="5"/>
        <v>0</v>
      </c>
      <c r="P47" s="3" t="s">
        <v>73</v>
      </c>
      <c r="Q47" s="4" t="str">
        <f t="shared" si="6"/>
        <v>0</v>
      </c>
      <c r="R47" s="3" t="s">
        <v>73</v>
      </c>
      <c r="S47" s="4" t="str">
        <f t="shared" si="7"/>
        <v>0</v>
      </c>
      <c r="T47" s="3" t="s">
        <v>73</v>
      </c>
      <c r="U47" s="4" t="str">
        <f t="shared" si="8"/>
        <v>0</v>
      </c>
    </row>
    <row r="48">
      <c r="A48" s="3" t="s">
        <v>89</v>
      </c>
      <c r="B48" s="3">
        <v>15.0</v>
      </c>
      <c r="C48" s="3" t="s">
        <v>149</v>
      </c>
      <c r="D48" s="3" t="s">
        <v>76</v>
      </c>
      <c r="E48" s="3" t="s">
        <v>76</v>
      </c>
      <c r="F48" s="3" t="s">
        <v>76</v>
      </c>
      <c r="G48" s="4" t="str">
        <f t="shared" si="1"/>
        <v>1</v>
      </c>
      <c r="H48" s="3" t="s">
        <v>76</v>
      </c>
      <c r="I48" s="4" t="str">
        <f t="shared" si="2"/>
        <v>1</v>
      </c>
      <c r="J48" s="3" t="s">
        <v>149</v>
      </c>
      <c r="K48" s="4" t="str">
        <f t="shared" si="3"/>
        <v>0</v>
      </c>
      <c r="L48" s="3" t="s">
        <v>76</v>
      </c>
      <c r="M48" s="4" t="str">
        <f t="shared" si="4"/>
        <v>1</v>
      </c>
      <c r="N48" s="3" t="s">
        <v>76</v>
      </c>
      <c r="O48" s="4" t="str">
        <f t="shared" si="5"/>
        <v>1</v>
      </c>
      <c r="P48" s="3" t="s">
        <v>76</v>
      </c>
      <c r="Q48" s="4" t="str">
        <f t="shared" si="6"/>
        <v>1</v>
      </c>
      <c r="R48" s="3" t="s">
        <v>148</v>
      </c>
      <c r="S48" s="4" t="str">
        <f t="shared" si="7"/>
        <v>0</v>
      </c>
      <c r="T48" s="3" t="s">
        <v>76</v>
      </c>
      <c r="U48" s="4" t="str">
        <f t="shared" si="8"/>
        <v>1</v>
      </c>
    </row>
    <row r="49">
      <c r="A49" s="3" t="s">
        <v>89</v>
      </c>
      <c r="B49" s="3">
        <v>16.0</v>
      </c>
      <c r="C49" s="3" t="s">
        <v>47</v>
      </c>
      <c r="D49" s="3" t="s">
        <v>66</v>
      </c>
      <c r="E49" s="3" t="s">
        <v>66</v>
      </c>
      <c r="F49" s="3" t="s">
        <v>66</v>
      </c>
      <c r="G49" s="4" t="str">
        <f t="shared" si="1"/>
        <v>1</v>
      </c>
      <c r="H49" s="3" t="s">
        <v>66</v>
      </c>
      <c r="I49" s="4" t="str">
        <f t="shared" si="2"/>
        <v>1</v>
      </c>
      <c r="J49" s="3" t="s">
        <v>66</v>
      </c>
      <c r="K49" s="4" t="str">
        <f t="shared" si="3"/>
        <v>1</v>
      </c>
      <c r="L49" s="3" t="s">
        <v>66</v>
      </c>
      <c r="M49" s="4" t="str">
        <f t="shared" si="4"/>
        <v>1</v>
      </c>
      <c r="N49" s="3" t="s">
        <v>66</v>
      </c>
      <c r="O49" s="4" t="str">
        <f t="shared" si="5"/>
        <v>1</v>
      </c>
      <c r="P49" s="3" t="s">
        <v>47</v>
      </c>
      <c r="Q49" s="4" t="str">
        <f t="shared" si="6"/>
        <v>0</v>
      </c>
      <c r="R49" s="3" t="s">
        <v>66</v>
      </c>
      <c r="S49" s="4" t="str">
        <f t="shared" si="7"/>
        <v>1</v>
      </c>
      <c r="T49" s="3" t="s">
        <v>66</v>
      </c>
      <c r="U49" s="4" t="str">
        <f t="shared" si="8"/>
        <v>1</v>
      </c>
    </row>
    <row r="50">
      <c r="A50" s="3" t="s">
        <v>90</v>
      </c>
      <c r="B50" s="3">
        <v>1.0</v>
      </c>
      <c r="C50" s="3" t="s">
        <v>26</v>
      </c>
      <c r="D50" s="3" t="s">
        <v>75</v>
      </c>
      <c r="E50" s="3" t="s">
        <v>26</v>
      </c>
      <c r="F50" s="3" t="s">
        <v>26</v>
      </c>
      <c r="G50" s="4" t="str">
        <f t="shared" si="1"/>
        <v>1</v>
      </c>
      <c r="H50" s="3" t="s">
        <v>87</v>
      </c>
      <c r="I50" s="4" t="str">
        <f t="shared" si="2"/>
        <v>0</v>
      </c>
      <c r="J50" s="3" t="s">
        <v>75</v>
      </c>
      <c r="K50" s="4" t="str">
        <f t="shared" si="3"/>
        <v>0</v>
      </c>
      <c r="L50" s="3" t="s">
        <v>75</v>
      </c>
      <c r="M50" s="4" t="str">
        <f t="shared" si="4"/>
        <v>0</v>
      </c>
      <c r="N50" s="3" t="s">
        <v>26</v>
      </c>
      <c r="O50" s="4" t="str">
        <f t="shared" si="5"/>
        <v>1</v>
      </c>
      <c r="P50" s="3" t="s">
        <v>75</v>
      </c>
      <c r="Q50" s="4" t="str">
        <f t="shared" si="6"/>
        <v>0</v>
      </c>
      <c r="R50" s="3" t="s">
        <v>26</v>
      </c>
      <c r="S50" s="4" t="str">
        <f t="shared" si="7"/>
        <v>1</v>
      </c>
      <c r="T50" s="3" t="s">
        <v>26</v>
      </c>
      <c r="U50" s="4" t="str">
        <f t="shared" si="8"/>
        <v>1</v>
      </c>
    </row>
    <row r="51">
      <c r="A51" s="3" t="s">
        <v>90</v>
      </c>
      <c r="B51" s="3">
        <v>2.0</v>
      </c>
      <c r="C51" s="3" t="s">
        <v>61</v>
      </c>
      <c r="D51" s="3" t="s">
        <v>82</v>
      </c>
      <c r="E51" s="3" t="s">
        <v>61</v>
      </c>
      <c r="F51" s="3" t="s">
        <v>82</v>
      </c>
      <c r="G51" s="4" t="str">
        <f t="shared" si="1"/>
        <v>0</v>
      </c>
      <c r="H51" s="3" t="s">
        <v>82</v>
      </c>
      <c r="I51" s="4" t="str">
        <f t="shared" si="2"/>
        <v>0</v>
      </c>
      <c r="J51" s="3" t="s">
        <v>63</v>
      </c>
      <c r="K51" s="4" t="str">
        <f t="shared" si="3"/>
        <v>0</v>
      </c>
      <c r="L51" s="3" t="s">
        <v>63</v>
      </c>
      <c r="M51" s="4" t="str">
        <f t="shared" si="4"/>
        <v>0</v>
      </c>
      <c r="N51" s="3" t="s">
        <v>82</v>
      </c>
      <c r="O51" s="4" t="str">
        <f t="shared" si="5"/>
        <v>0</v>
      </c>
      <c r="P51" s="3" t="s">
        <v>82</v>
      </c>
      <c r="Q51" s="4" t="str">
        <f t="shared" si="6"/>
        <v>0</v>
      </c>
      <c r="R51" s="3" t="s">
        <v>82</v>
      </c>
      <c r="S51" s="4" t="str">
        <f t="shared" si="7"/>
        <v>0</v>
      </c>
      <c r="T51" s="3" t="s">
        <v>63</v>
      </c>
      <c r="U51" s="4" t="str">
        <f t="shared" si="8"/>
        <v>0</v>
      </c>
    </row>
    <row r="52">
      <c r="A52" s="3" t="s">
        <v>90</v>
      </c>
      <c r="B52" s="3">
        <v>3.0</v>
      </c>
      <c r="C52" s="3" t="s">
        <v>40</v>
      </c>
      <c r="D52" s="3" t="s">
        <v>30</v>
      </c>
      <c r="E52" s="3" t="s">
        <v>30</v>
      </c>
      <c r="F52" s="3" t="s">
        <v>42</v>
      </c>
      <c r="G52" s="4" t="str">
        <f t="shared" si="1"/>
        <v>0</v>
      </c>
      <c r="H52" s="3" t="s">
        <v>30</v>
      </c>
      <c r="I52" s="4" t="str">
        <f t="shared" si="2"/>
        <v>1</v>
      </c>
      <c r="J52" s="3" t="s">
        <v>30</v>
      </c>
      <c r="K52" s="4" t="str">
        <f t="shared" si="3"/>
        <v>1</v>
      </c>
      <c r="L52" s="3" t="s">
        <v>30</v>
      </c>
      <c r="M52" s="4" t="str">
        <f t="shared" si="4"/>
        <v>1</v>
      </c>
      <c r="N52" s="3" t="s">
        <v>30</v>
      </c>
      <c r="O52" s="4" t="str">
        <f t="shared" si="5"/>
        <v>1</v>
      </c>
      <c r="P52" s="3" t="s">
        <v>34</v>
      </c>
      <c r="Q52" s="4" t="str">
        <f t="shared" si="6"/>
        <v>0</v>
      </c>
      <c r="R52" s="3" t="s">
        <v>42</v>
      </c>
      <c r="S52" s="4" t="str">
        <f t="shared" si="7"/>
        <v>0</v>
      </c>
      <c r="T52" s="3" t="s">
        <v>42</v>
      </c>
      <c r="U52" s="4" t="str">
        <f t="shared" si="8"/>
        <v>0</v>
      </c>
    </row>
    <row r="53">
      <c r="A53" s="3" t="s">
        <v>90</v>
      </c>
      <c r="B53" s="3">
        <v>4.0</v>
      </c>
      <c r="C53" s="3" t="s">
        <v>133</v>
      </c>
      <c r="D53" s="3" t="s">
        <v>55</v>
      </c>
      <c r="E53" s="3" t="s">
        <v>133</v>
      </c>
      <c r="F53" s="3" t="s">
        <v>55</v>
      </c>
      <c r="G53" s="4" t="str">
        <f t="shared" si="1"/>
        <v>0</v>
      </c>
      <c r="H53" s="3" t="s">
        <v>55</v>
      </c>
      <c r="I53" s="4" t="str">
        <f t="shared" si="2"/>
        <v>0</v>
      </c>
      <c r="J53" s="3" t="s">
        <v>38</v>
      </c>
      <c r="K53" s="4" t="str">
        <f t="shared" si="3"/>
        <v>0</v>
      </c>
      <c r="L53" s="3" t="s">
        <v>55</v>
      </c>
      <c r="M53" s="4" t="str">
        <f t="shared" si="4"/>
        <v>0</v>
      </c>
      <c r="N53" s="3" t="s">
        <v>38</v>
      </c>
      <c r="O53" s="4" t="str">
        <f t="shared" si="5"/>
        <v>0</v>
      </c>
      <c r="P53" s="3" t="s">
        <v>38</v>
      </c>
      <c r="Q53" s="4" t="str">
        <f t="shared" si="6"/>
        <v>0</v>
      </c>
      <c r="R53" s="3" t="s">
        <v>55</v>
      </c>
      <c r="S53" s="4" t="str">
        <f t="shared" si="7"/>
        <v>0</v>
      </c>
      <c r="T53" s="3" t="s">
        <v>38</v>
      </c>
      <c r="U53" s="4" t="str">
        <f t="shared" si="8"/>
        <v>0</v>
      </c>
    </row>
    <row r="54">
      <c r="A54" s="3" t="s">
        <v>90</v>
      </c>
      <c r="B54" s="3">
        <v>5.0</v>
      </c>
      <c r="C54" s="3" t="s">
        <v>59</v>
      </c>
      <c r="D54" s="3" t="s">
        <v>36</v>
      </c>
      <c r="E54" s="3" t="s">
        <v>36</v>
      </c>
      <c r="F54" s="3" t="s">
        <v>59</v>
      </c>
      <c r="G54" s="4" t="str">
        <f t="shared" si="1"/>
        <v>0</v>
      </c>
      <c r="H54" s="3" t="s">
        <v>59</v>
      </c>
      <c r="I54" s="4" t="str">
        <f t="shared" si="2"/>
        <v>0</v>
      </c>
      <c r="J54" s="3" t="s">
        <v>83</v>
      </c>
      <c r="K54" s="4" t="str">
        <f t="shared" si="3"/>
        <v>0</v>
      </c>
      <c r="L54" s="3" t="s">
        <v>59</v>
      </c>
      <c r="M54" s="4" t="str">
        <f t="shared" si="4"/>
        <v>0</v>
      </c>
      <c r="N54" s="3" t="s">
        <v>83</v>
      </c>
      <c r="O54" s="4" t="str">
        <f t="shared" si="5"/>
        <v>0</v>
      </c>
      <c r="P54" s="3" t="s">
        <v>83</v>
      </c>
      <c r="Q54" s="4" t="str">
        <f t="shared" si="6"/>
        <v>0</v>
      </c>
      <c r="R54" s="3" t="s">
        <v>59</v>
      </c>
      <c r="S54" s="4" t="str">
        <f t="shared" si="7"/>
        <v>0</v>
      </c>
      <c r="T54" s="3" t="s">
        <v>59</v>
      </c>
      <c r="U54" s="4" t="str">
        <f t="shared" si="8"/>
        <v>0</v>
      </c>
    </row>
    <row r="55">
      <c r="A55" s="3" t="s">
        <v>90</v>
      </c>
      <c r="B55" s="3">
        <v>6.0</v>
      </c>
      <c r="C55" s="3" t="s">
        <v>100</v>
      </c>
      <c r="D55" s="3" t="s">
        <v>41</v>
      </c>
      <c r="E55" s="3" t="s">
        <v>100</v>
      </c>
      <c r="F55" s="3" t="s">
        <v>41</v>
      </c>
      <c r="G55" s="4" t="str">
        <f t="shared" si="1"/>
        <v>0</v>
      </c>
      <c r="H55" s="3" t="s">
        <v>53</v>
      </c>
      <c r="I55" s="4" t="str">
        <f t="shared" si="2"/>
        <v>0</v>
      </c>
      <c r="J55" s="3" t="s">
        <v>41</v>
      </c>
      <c r="K55" s="4" t="str">
        <f t="shared" si="3"/>
        <v>0</v>
      </c>
      <c r="L55" s="3" t="s">
        <v>32</v>
      </c>
      <c r="M55" s="4" t="str">
        <f t="shared" si="4"/>
        <v>0</v>
      </c>
      <c r="N55" s="3" t="s">
        <v>41</v>
      </c>
      <c r="O55" s="4" t="str">
        <f t="shared" si="5"/>
        <v>0</v>
      </c>
      <c r="P55" s="3" t="s">
        <v>41</v>
      </c>
      <c r="Q55" s="4" t="str">
        <f t="shared" si="6"/>
        <v>0</v>
      </c>
      <c r="R55" s="3" t="s">
        <v>41</v>
      </c>
      <c r="S55" s="4" t="str">
        <f t="shared" si="7"/>
        <v>0</v>
      </c>
      <c r="T55" s="3" t="s">
        <v>41</v>
      </c>
      <c r="U55" s="4" t="str">
        <f t="shared" si="8"/>
        <v>0</v>
      </c>
    </row>
    <row r="56">
      <c r="A56" s="3" t="s">
        <v>90</v>
      </c>
      <c r="B56" s="3">
        <v>7.0</v>
      </c>
      <c r="C56" s="3" t="s">
        <v>49</v>
      </c>
      <c r="D56" s="3" t="s">
        <v>22</v>
      </c>
      <c r="E56" s="3" t="s">
        <v>49</v>
      </c>
      <c r="F56" s="3" t="s">
        <v>49</v>
      </c>
      <c r="G56" s="4" t="str">
        <f t="shared" si="1"/>
        <v>1</v>
      </c>
      <c r="H56" s="3" t="s">
        <v>49</v>
      </c>
      <c r="I56" s="4" t="str">
        <f t="shared" si="2"/>
        <v>1</v>
      </c>
      <c r="J56" s="3" t="s">
        <v>49</v>
      </c>
      <c r="K56" s="4" t="str">
        <f t="shared" si="3"/>
        <v>1</v>
      </c>
      <c r="L56" s="3" t="s">
        <v>73</v>
      </c>
      <c r="M56" s="4" t="str">
        <f t="shared" si="4"/>
        <v>0</v>
      </c>
      <c r="N56" s="3" t="s">
        <v>73</v>
      </c>
      <c r="O56" s="4" t="str">
        <f t="shared" si="5"/>
        <v>0</v>
      </c>
      <c r="P56" s="3" t="s">
        <v>49</v>
      </c>
      <c r="Q56" s="4" t="str">
        <f t="shared" si="6"/>
        <v>1</v>
      </c>
      <c r="R56" s="3" t="s">
        <v>49</v>
      </c>
      <c r="S56" s="4" t="str">
        <f t="shared" si="7"/>
        <v>1</v>
      </c>
      <c r="T56" s="3" t="s">
        <v>49</v>
      </c>
      <c r="U56" s="4" t="str">
        <f t="shared" si="8"/>
        <v>1</v>
      </c>
    </row>
    <row r="57">
      <c r="A57" s="3" t="s">
        <v>90</v>
      </c>
      <c r="B57" s="3">
        <v>8.0</v>
      </c>
      <c r="C57" s="3" t="s">
        <v>76</v>
      </c>
      <c r="D57" s="3" t="s">
        <v>66</v>
      </c>
      <c r="E57" s="3" t="s">
        <v>66</v>
      </c>
      <c r="F57" s="3" t="s">
        <v>66</v>
      </c>
      <c r="G57" s="4" t="str">
        <f t="shared" si="1"/>
        <v>1</v>
      </c>
      <c r="H57" s="3" t="s">
        <v>76</v>
      </c>
      <c r="I57" s="4" t="str">
        <f t="shared" si="2"/>
        <v>0</v>
      </c>
      <c r="J57" s="3" t="s">
        <v>66</v>
      </c>
      <c r="K57" s="4" t="str">
        <f t="shared" si="3"/>
        <v>1</v>
      </c>
      <c r="L57" s="3" t="s">
        <v>66</v>
      </c>
      <c r="M57" s="4" t="str">
        <f t="shared" si="4"/>
        <v>1</v>
      </c>
      <c r="N57" s="3" t="s">
        <v>66</v>
      </c>
      <c r="O57" s="4" t="str">
        <f t="shared" si="5"/>
        <v>1</v>
      </c>
      <c r="P57" s="3" t="s">
        <v>76</v>
      </c>
      <c r="Q57" s="4" t="str">
        <f t="shared" si="6"/>
        <v>0</v>
      </c>
      <c r="R57" s="3" t="s">
        <v>66</v>
      </c>
      <c r="S57" s="4" t="str">
        <f t="shared" si="7"/>
        <v>1</v>
      </c>
      <c r="T57" s="3" t="s">
        <v>76</v>
      </c>
      <c r="U57" s="4" t="str">
        <f t="shared" si="8"/>
        <v>0</v>
      </c>
    </row>
    <row r="58">
      <c r="A58" s="3" t="s">
        <v>91</v>
      </c>
      <c r="B58" s="3">
        <v>1.0</v>
      </c>
      <c r="C58" s="3" t="s">
        <v>26</v>
      </c>
      <c r="D58" s="3" t="s">
        <v>61</v>
      </c>
      <c r="E58" s="3" t="s">
        <v>26</v>
      </c>
      <c r="F58" s="3" t="s">
        <v>26</v>
      </c>
      <c r="G58" s="4" t="str">
        <f t="shared" si="1"/>
        <v>1</v>
      </c>
      <c r="H58" s="3" t="s">
        <v>82</v>
      </c>
      <c r="I58" s="4" t="str">
        <f t="shared" si="2"/>
        <v>0</v>
      </c>
      <c r="J58" s="3" t="s">
        <v>75</v>
      </c>
      <c r="K58" s="4" t="str">
        <f t="shared" si="3"/>
        <v>0</v>
      </c>
      <c r="L58" s="3" t="s">
        <v>63</v>
      </c>
      <c r="M58" s="4" t="str">
        <f t="shared" si="4"/>
        <v>0</v>
      </c>
      <c r="N58" s="3" t="s">
        <v>82</v>
      </c>
      <c r="O58" s="4" t="str">
        <f t="shared" si="5"/>
        <v>0</v>
      </c>
      <c r="P58" s="3" t="s">
        <v>75</v>
      </c>
      <c r="Q58" s="4" t="str">
        <f t="shared" si="6"/>
        <v>0</v>
      </c>
      <c r="R58" s="3" t="s">
        <v>26</v>
      </c>
      <c r="S58" s="4" t="str">
        <f t="shared" si="7"/>
        <v>1</v>
      </c>
      <c r="T58" s="3" t="s">
        <v>63</v>
      </c>
      <c r="U58" s="4" t="str">
        <f t="shared" si="8"/>
        <v>0</v>
      </c>
    </row>
    <row r="59">
      <c r="A59" s="3" t="s">
        <v>91</v>
      </c>
      <c r="B59" s="3">
        <v>2.0</v>
      </c>
      <c r="C59" s="3" t="s">
        <v>30</v>
      </c>
      <c r="D59" s="3" t="s">
        <v>133</v>
      </c>
      <c r="E59" s="3" t="s">
        <v>30</v>
      </c>
      <c r="F59" s="3" t="s">
        <v>55</v>
      </c>
      <c r="G59" s="4" t="str">
        <f t="shared" si="1"/>
        <v>0</v>
      </c>
      <c r="H59" s="3" t="s">
        <v>30</v>
      </c>
      <c r="I59" s="4" t="str">
        <f t="shared" si="2"/>
        <v>1</v>
      </c>
      <c r="J59" s="3" t="s">
        <v>30</v>
      </c>
      <c r="K59" s="4" t="str">
        <f t="shared" si="3"/>
        <v>1</v>
      </c>
      <c r="L59" s="3" t="s">
        <v>30</v>
      </c>
      <c r="M59" s="4" t="str">
        <f t="shared" si="4"/>
        <v>1</v>
      </c>
      <c r="N59" s="3" t="s">
        <v>38</v>
      </c>
      <c r="O59" s="4" t="str">
        <f t="shared" si="5"/>
        <v>0</v>
      </c>
      <c r="P59" s="3" t="s">
        <v>38</v>
      </c>
      <c r="Q59" s="4" t="str">
        <f t="shared" si="6"/>
        <v>0</v>
      </c>
      <c r="R59" s="3" t="s">
        <v>42</v>
      </c>
      <c r="S59" s="4" t="str">
        <f t="shared" si="7"/>
        <v>0</v>
      </c>
      <c r="T59" s="3" t="s">
        <v>42</v>
      </c>
      <c r="U59" s="4" t="str">
        <f t="shared" si="8"/>
        <v>0</v>
      </c>
    </row>
    <row r="60">
      <c r="A60" s="3" t="s">
        <v>91</v>
      </c>
      <c r="B60" s="3">
        <v>3.0</v>
      </c>
      <c r="C60" s="3" t="s">
        <v>36</v>
      </c>
      <c r="D60" s="3" t="s">
        <v>100</v>
      </c>
      <c r="E60" s="3" t="s">
        <v>100</v>
      </c>
      <c r="F60" s="3" t="s">
        <v>59</v>
      </c>
      <c r="G60" s="4" t="str">
        <f t="shared" si="1"/>
        <v>0</v>
      </c>
      <c r="H60" s="3" t="s">
        <v>59</v>
      </c>
      <c r="I60" s="4" t="str">
        <f t="shared" si="2"/>
        <v>0</v>
      </c>
      <c r="J60" s="3" t="s">
        <v>83</v>
      </c>
      <c r="K60" s="4" t="str">
        <f t="shared" si="3"/>
        <v>0</v>
      </c>
      <c r="L60" s="3" t="s">
        <v>59</v>
      </c>
      <c r="M60" s="4" t="str">
        <f t="shared" si="4"/>
        <v>0</v>
      </c>
      <c r="N60" s="3" t="s">
        <v>83</v>
      </c>
      <c r="O60" s="4" t="str">
        <f t="shared" si="5"/>
        <v>0</v>
      </c>
      <c r="P60" s="3" t="s">
        <v>41</v>
      </c>
      <c r="Q60" s="4" t="str">
        <f t="shared" si="6"/>
        <v>0</v>
      </c>
      <c r="R60" s="3" t="s">
        <v>59</v>
      </c>
      <c r="S60" s="4" t="str">
        <f t="shared" si="7"/>
        <v>0</v>
      </c>
      <c r="T60" s="3" t="s">
        <v>41</v>
      </c>
      <c r="U60" s="4" t="str">
        <f t="shared" si="8"/>
        <v>0</v>
      </c>
    </row>
    <row r="61">
      <c r="A61" s="3" t="s">
        <v>91</v>
      </c>
      <c r="B61" s="3">
        <v>4.0</v>
      </c>
      <c r="C61" s="3" t="s">
        <v>49</v>
      </c>
      <c r="D61" s="3" t="s">
        <v>66</v>
      </c>
      <c r="E61" s="3" t="s">
        <v>49</v>
      </c>
      <c r="F61" s="3" t="s">
        <v>49</v>
      </c>
      <c r="G61" s="4" t="str">
        <f t="shared" si="1"/>
        <v>1</v>
      </c>
      <c r="H61" s="3" t="s">
        <v>49</v>
      </c>
      <c r="I61" s="4" t="str">
        <f t="shared" si="2"/>
        <v>1</v>
      </c>
      <c r="J61" s="3" t="s">
        <v>49</v>
      </c>
      <c r="K61" s="4" t="str">
        <f t="shared" si="3"/>
        <v>1</v>
      </c>
      <c r="L61" s="3" t="s">
        <v>66</v>
      </c>
      <c r="M61" s="4" t="str">
        <f t="shared" si="4"/>
        <v>0</v>
      </c>
      <c r="N61" s="3" t="s">
        <v>73</v>
      </c>
      <c r="O61" s="4" t="str">
        <f t="shared" si="5"/>
        <v>0</v>
      </c>
      <c r="P61" s="3" t="s">
        <v>49</v>
      </c>
      <c r="Q61" s="4" t="str">
        <f t="shared" si="6"/>
        <v>1</v>
      </c>
      <c r="R61" s="3" t="s">
        <v>49</v>
      </c>
      <c r="S61" s="4" t="str">
        <f t="shared" si="7"/>
        <v>1</v>
      </c>
      <c r="T61" s="3" t="s">
        <v>49</v>
      </c>
      <c r="U61" s="4" t="str">
        <f t="shared" si="8"/>
        <v>1</v>
      </c>
    </row>
    <row r="62">
      <c r="A62" s="3" t="s">
        <v>92</v>
      </c>
      <c r="B62" s="3">
        <v>1.0</v>
      </c>
      <c r="C62" s="3" t="s">
        <v>26</v>
      </c>
      <c r="D62" s="3" t="s">
        <v>30</v>
      </c>
      <c r="E62" s="3" t="s">
        <v>26</v>
      </c>
      <c r="F62" s="3" t="s">
        <v>26</v>
      </c>
      <c r="G62" s="4" t="str">
        <f t="shared" si="1"/>
        <v>1</v>
      </c>
      <c r="H62" s="3" t="s">
        <v>30</v>
      </c>
      <c r="I62" s="4" t="str">
        <f t="shared" si="2"/>
        <v>0</v>
      </c>
      <c r="J62" s="3" t="s">
        <v>30</v>
      </c>
      <c r="K62" s="4" t="str">
        <f t="shared" si="3"/>
        <v>0</v>
      </c>
      <c r="L62" s="3" t="s">
        <v>30</v>
      </c>
      <c r="M62" s="4" t="str">
        <f t="shared" si="4"/>
        <v>0</v>
      </c>
      <c r="N62" s="3" t="s">
        <v>38</v>
      </c>
      <c r="O62" s="4" t="str">
        <f t="shared" si="5"/>
        <v>0</v>
      </c>
      <c r="P62" s="3" t="s">
        <v>38</v>
      </c>
      <c r="Q62" s="4" t="str">
        <f t="shared" si="6"/>
        <v>0</v>
      </c>
      <c r="R62" s="3" t="s">
        <v>26</v>
      </c>
      <c r="S62" s="4" t="str">
        <f t="shared" si="7"/>
        <v>1</v>
      </c>
      <c r="T62" s="3" t="s">
        <v>63</v>
      </c>
      <c r="U62" s="4" t="str">
        <f t="shared" si="8"/>
        <v>0</v>
      </c>
    </row>
    <row r="63">
      <c r="A63" s="3" t="s">
        <v>92</v>
      </c>
      <c r="B63" s="3">
        <v>2.0</v>
      </c>
      <c r="C63" s="3" t="s">
        <v>100</v>
      </c>
      <c r="D63" s="3" t="s">
        <v>49</v>
      </c>
      <c r="E63" s="3" t="s">
        <v>49</v>
      </c>
      <c r="F63" s="3" t="s">
        <v>59</v>
      </c>
      <c r="G63" s="4" t="str">
        <f t="shared" si="1"/>
        <v>0</v>
      </c>
      <c r="H63" s="3" t="s">
        <v>49</v>
      </c>
      <c r="I63" s="4" t="str">
        <f t="shared" si="2"/>
        <v>1</v>
      </c>
      <c r="J63" s="3" t="s">
        <v>49</v>
      </c>
      <c r="K63" s="4" t="str">
        <f t="shared" si="3"/>
        <v>1</v>
      </c>
      <c r="L63" s="3" t="s">
        <v>59</v>
      </c>
      <c r="M63" s="4" t="str">
        <f t="shared" si="4"/>
        <v>0</v>
      </c>
      <c r="N63" s="3" t="s">
        <v>73</v>
      </c>
      <c r="O63" s="4" t="str">
        <f t="shared" si="5"/>
        <v>0</v>
      </c>
      <c r="P63" s="3" t="s">
        <v>49</v>
      </c>
      <c r="Q63" s="4" t="str">
        <f t="shared" si="6"/>
        <v>1</v>
      </c>
      <c r="R63" s="3" t="s">
        <v>49</v>
      </c>
      <c r="S63" s="4" t="str">
        <f t="shared" si="7"/>
        <v>1</v>
      </c>
      <c r="T63" s="3" t="s">
        <v>41</v>
      </c>
      <c r="U63" s="4" t="str">
        <f t="shared" si="8"/>
        <v>0</v>
      </c>
    </row>
    <row r="64">
      <c r="A64" s="3" t="s">
        <v>93</v>
      </c>
      <c r="B64" s="3">
        <v>1.0</v>
      </c>
      <c r="C64" s="3" t="s">
        <v>26</v>
      </c>
      <c r="D64" s="3" t="s">
        <v>49</v>
      </c>
      <c r="E64" s="3" t="s">
        <v>26</v>
      </c>
      <c r="F64" s="3" t="s">
        <v>59</v>
      </c>
      <c r="G64" s="4" t="str">
        <f t="shared" si="1"/>
        <v>0</v>
      </c>
      <c r="H64" s="3" t="s">
        <v>49</v>
      </c>
      <c r="I64" s="4" t="str">
        <f t="shared" si="2"/>
        <v>0</v>
      </c>
      <c r="J64" s="3" t="s">
        <v>49</v>
      </c>
      <c r="K64" s="4" t="str">
        <f t="shared" si="3"/>
        <v>0</v>
      </c>
      <c r="L64" s="3" t="s">
        <v>30</v>
      </c>
      <c r="M64" s="4" t="str">
        <f t="shared" si="4"/>
        <v>0</v>
      </c>
      <c r="N64" s="3" t="s">
        <v>38</v>
      </c>
      <c r="O64" s="4" t="str">
        <f t="shared" si="5"/>
        <v>0</v>
      </c>
      <c r="P64" s="3" t="s">
        <v>49</v>
      </c>
      <c r="Q64" s="4" t="str">
        <f t="shared" si="6"/>
        <v>0</v>
      </c>
      <c r="R64" s="3" t="s">
        <v>49</v>
      </c>
      <c r="S64" s="4" t="str">
        <f t="shared" si="7"/>
        <v>0</v>
      </c>
      <c r="T64" s="3" t="s">
        <v>63</v>
      </c>
      <c r="U64" s="4" t="str">
        <f t="shared" si="8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hidden="1" min="1" max="2" width="12.63"/>
    <col customWidth="1" min="3" max="3" width="14.63"/>
    <col customWidth="1" min="4" max="4" width="15.25"/>
    <col customWidth="1" min="6" max="6" width="13.38"/>
    <col customWidth="1" min="7" max="7" width="5.0"/>
    <col customWidth="1" min="8" max="8" width="15.75"/>
    <col customWidth="1" min="9" max="9" width="6.13"/>
    <col customWidth="1" min="10" max="10" width="15.75"/>
    <col customWidth="1" min="11" max="11" width="6.25"/>
    <col customWidth="1" min="12" max="12" width="18.38"/>
    <col customWidth="1" min="13" max="13" width="7.38"/>
    <col customWidth="1" min="15" max="15" width="4.88"/>
    <col customWidth="1" min="16" max="16" width="15.0"/>
    <col customWidth="1" min="17" max="17" width="6.0"/>
    <col customWidth="1" min="18" max="18" width="13.38"/>
    <col customWidth="1" min="19" max="19" width="4.13"/>
    <col customWidth="1" min="20" max="20" width="13.38"/>
    <col customWidth="1" min="21" max="21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  <c r="AB1" s="2"/>
    </row>
    <row r="2">
      <c r="A2" s="3" t="s">
        <v>21</v>
      </c>
      <c r="B2" s="3">
        <v>1.0</v>
      </c>
      <c r="C2" s="3" t="s">
        <v>87</v>
      </c>
      <c r="D2" s="3" t="s">
        <v>151</v>
      </c>
      <c r="E2" s="3" t="s">
        <v>87</v>
      </c>
      <c r="F2" s="3" t="s">
        <v>87</v>
      </c>
      <c r="G2" s="4" t="str">
        <f t="shared" ref="G2:G64" si="1">if(E2=F2, "1", "0")</f>
        <v>1</v>
      </c>
      <c r="H2" s="3" t="s">
        <v>87</v>
      </c>
      <c r="I2" s="4" t="str">
        <f t="shared" ref="I2:I64" si="2">if(E2=H2, "1", "0")</f>
        <v>1</v>
      </c>
      <c r="J2" s="3" t="s">
        <v>87</v>
      </c>
      <c r="K2" s="4" t="str">
        <f t="shared" ref="K2:K64" si="3">if(E2=J2, "1", "0")</f>
        <v>1</v>
      </c>
      <c r="L2" s="3" t="s">
        <v>87</v>
      </c>
      <c r="M2" s="4" t="str">
        <f t="shared" ref="M2:M64" si="4">if(E2=L2, "1", "0")</f>
        <v>1</v>
      </c>
      <c r="N2" s="3" t="s">
        <v>87</v>
      </c>
      <c r="O2" s="4" t="str">
        <f t="shared" ref="O2:O64" si="5">if(E2=N2, "1", "0")</f>
        <v>1</v>
      </c>
      <c r="P2" s="3" t="s">
        <v>87</v>
      </c>
      <c r="Q2" s="4" t="str">
        <f t="shared" ref="Q2:Q64" si="6">if(E2=P2, "1", "0")</f>
        <v>1</v>
      </c>
      <c r="R2" s="3" t="s">
        <v>87</v>
      </c>
      <c r="S2" s="4" t="str">
        <f t="shared" ref="S2:S64" si="7">if(E2=R2, "1", "0")</f>
        <v>1</v>
      </c>
      <c r="T2" s="3" t="s">
        <v>87</v>
      </c>
      <c r="U2" s="4" t="str">
        <f t="shared" ref="U2:U64" si="8">if(E2=T2, "1", "0")</f>
        <v>1</v>
      </c>
    </row>
    <row r="3">
      <c r="A3" s="3" t="s">
        <v>21</v>
      </c>
      <c r="B3" s="3">
        <v>2.0</v>
      </c>
      <c r="C3" s="3" t="s">
        <v>152</v>
      </c>
      <c r="D3" s="3" t="s">
        <v>76</v>
      </c>
      <c r="E3" s="3" t="s">
        <v>76</v>
      </c>
      <c r="F3" s="3" t="s">
        <v>152</v>
      </c>
      <c r="G3" s="4" t="str">
        <f t="shared" si="1"/>
        <v>0</v>
      </c>
      <c r="H3" s="3" t="s">
        <v>152</v>
      </c>
      <c r="I3" s="4" t="str">
        <f t="shared" si="2"/>
        <v>0</v>
      </c>
      <c r="J3" s="3" t="s">
        <v>152</v>
      </c>
      <c r="K3" s="4" t="str">
        <f t="shared" si="3"/>
        <v>0</v>
      </c>
      <c r="L3" s="3" t="s">
        <v>76</v>
      </c>
      <c r="M3" s="4" t="str">
        <f t="shared" si="4"/>
        <v>1</v>
      </c>
      <c r="N3" s="3" t="s">
        <v>76</v>
      </c>
      <c r="O3" s="4" t="str">
        <f t="shared" si="5"/>
        <v>1</v>
      </c>
      <c r="P3" s="3" t="s">
        <v>152</v>
      </c>
      <c r="Q3" s="4" t="str">
        <f t="shared" si="6"/>
        <v>0</v>
      </c>
      <c r="R3" s="3" t="s">
        <v>152</v>
      </c>
      <c r="S3" s="4" t="str">
        <f t="shared" si="7"/>
        <v>0</v>
      </c>
      <c r="T3" s="3" t="s">
        <v>152</v>
      </c>
      <c r="U3" s="4" t="str">
        <f t="shared" si="8"/>
        <v>0</v>
      </c>
    </row>
    <row r="4">
      <c r="A4" s="3" t="s">
        <v>21</v>
      </c>
      <c r="B4" s="3">
        <v>3.0</v>
      </c>
      <c r="C4" s="3" t="s">
        <v>65</v>
      </c>
      <c r="D4" s="3" t="s">
        <v>75</v>
      </c>
      <c r="E4" s="3" t="s">
        <v>65</v>
      </c>
      <c r="F4" s="3" t="s">
        <v>65</v>
      </c>
      <c r="G4" s="4" t="str">
        <f t="shared" si="1"/>
        <v>1</v>
      </c>
      <c r="H4" s="3" t="s">
        <v>65</v>
      </c>
      <c r="I4" s="4" t="str">
        <f t="shared" si="2"/>
        <v>1</v>
      </c>
      <c r="J4" s="3" t="s">
        <v>65</v>
      </c>
      <c r="K4" s="4" t="str">
        <f t="shared" si="3"/>
        <v>1</v>
      </c>
      <c r="L4" s="3" t="s">
        <v>65</v>
      </c>
      <c r="M4" s="4" t="str">
        <f t="shared" si="4"/>
        <v>1</v>
      </c>
      <c r="N4" s="3" t="s">
        <v>65</v>
      </c>
      <c r="O4" s="4" t="str">
        <f t="shared" si="5"/>
        <v>1</v>
      </c>
      <c r="P4" s="3" t="s">
        <v>65</v>
      </c>
      <c r="Q4" s="4" t="str">
        <f t="shared" si="6"/>
        <v>1</v>
      </c>
      <c r="R4" s="3" t="s">
        <v>65</v>
      </c>
      <c r="S4" s="4" t="str">
        <f t="shared" si="7"/>
        <v>1</v>
      </c>
      <c r="T4" s="3" t="s">
        <v>65</v>
      </c>
      <c r="U4" s="4" t="str">
        <f t="shared" si="8"/>
        <v>1</v>
      </c>
    </row>
    <row r="5">
      <c r="A5" s="3" t="s">
        <v>21</v>
      </c>
      <c r="B5" s="3">
        <v>4.0</v>
      </c>
      <c r="C5" s="3" t="s">
        <v>116</v>
      </c>
      <c r="D5" s="3" t="s">
        <v>50</v>
      </c>
      <c r="E5" s="3" t="s">
        <v>116</v>
      </c>
      <c r="F5" s="3" t="s">
        <v>116</v>
      </c>
      <c r="G5" s="4" t="str">
        <f t="shared" si="1"/>
        <v>1</v>
      </c>
      <c r="H5" s="3" t="s">
        <v>116</v>
      </c>
      <c r="I5" s="4" t="str">
        <f t="shared" si="2"/>
        <v>1</v>
      </c>
      <c r="J5" s="3" t="s">
        <v>116</v>
      </c>
      <c r="K5" s="4" t="str">
        <f t="shared" si="3"/>
        <v>1</v>
      </c>
      <c r="L5" s="3" t="s">
        <v>116</v>
      </c>
      <c r="M5" s="4" t="str">
        <f t="shared" si="4"/>
        <v>1</v>
      </c>
      <c r="N5" s="3" t="s">
        <v>116</v>
      </c>
      <c r="O5" s="4" t="str">
        <f t="shared" si="5"/>
        <v>1</v>
      </c>
      <c r="P5" s="3" t="s">
        <v>116</v>
      </c>
      <c r="Q5" s="4" t="str">
        <f t="shared" si="6"/>
        <v>1</v>
      </c>
      <c r="R5" s="3" t="s">
        <v>116</v>
      </c>
      <c r="S5" s="4" t="str">
        <f t="shared" si="7"/>
        <v>1</v>
      </c>
      <c r="T5" s="3" t="s">
        <v>116</v>
      </c>
      <c r="U5" s="4" t="str">
        <f t="shared" si="8"/>
        <v>1</v>
      </c>
    </row>
    <row r="6">
      <c r="A6" s="3" t="s">
        <v>21</v>
      </c>
      <c r="B6" s="3">
        <v>5.0</v>
      </c>
      <c r="C6" s="3" t="s">
        <v>153</v>
      </c>
      <c r="D6" s="3" t="s">
        <v>40</v>
      </c>
      <c r="E6" s="3" t="s">
        <v>153</v>
      </c>
      <c r="F6" s="3" t="s">
        <v>153</v>
      </c>
      <c r="G6" s="4" t="str">
        <f t="shared" si="1"/>
        <v>1</v>
      </c>
      <c r="H6" s="3" t="s">
        <v>153</v>
      </c>
      <c r="I6" s="4" t="str">
        <f t="shared" si="2"/>
        <v>1</v>
      </c>
      <c r="J6" s="3" t="s">
        <v>153</v>
      </c>
      <c r="K6" s="4" t="str">
        <f t="shared" si="3"/>
        <v>1</v>
      </c>
      <c r="L6" s="3" t="s">
        <v>153</v>
      </c>
      <c r="M6" s="4" t="str">
        <f t="shared" si="4"/>
        <v>1</v>
      </c>
      <c r="N6" s="3" t="s">
        <v>153</v>
      </c>
      <c r="O6" s="4" t="str">
        <f t="shared" si="5"/>
        <v>1</v>
      </c>
      <c r="P6" s="3" t="s">
        <v>153</v>
      </c>
      <c r="Q6" s="4" t="str">
        <f t="shared" si="6"/>
        <v>1</v>
      </c>
      <c r="R6" s="3" t="s">
        <v>153</v>
      </c>
      <c r="S6" s="4" t="str">
        <f t="shared" si="7"/>
        <v>1</v>
      </c>
      <c r="T6" s="3" t="s">
        <v>153</v>
      </c>
      <c r="U6" s="4" t="str">
        <f t="shared" si="8"/>
        <v>1</v>
      </c>
    </row>
    <row r="7">
      <c r="A7" s="3" t="s">
        <v>21</v>
      </c>
      <c r="B7" s="3">
        <v>6.0</v>
      </c>
      <c r="C7" s="3" t="s">
        <v>82</v>
      </c>
      <c r="D7" s="3" t="s">
        <v>154</v>
      </c>
      <c r="E7" s="3" t="s">
        <v>82</v>
      </c>
      <c r="F7" s="3" t="s">
        <v>82</v>
      </c>
      <c r="G7" s="4" t="str">
        <f t="shared" si="1"/>
        <v>1</v>
      </c>
      <c r="H7" s="3" t="s">
        <v>82</v>
      </c>
      <c r="I7" s="4" t="str">
        <f t="shared" si="2"/>
        <v>1</v>
      </c>
      <c r="J7" s="3" t="s">
        <v>82</v>
      </c>
      <c r="K7" s="4" t="str">
        <f t="shared" si="3"/>
        <v>1</v>
      </c>
      <c r="L7" s="3" t="s">
        <v>82</v>
      </c>
      <c r="M7" s="4" t="str">
        <f t="shared" si="4"/>
        <v>1</v>
      </c>
      <c r="N7" s="3" t="s">
        <v>82</v>
      </c>
      <c r="O7" s="4" t="str">
        <f t="shared" si="5"/>
        <v>1</v>
      </c>
      <c r="P7" s="3" t="s">
        <v>82</v>
      </c>
      <c r="Q7" s="4" t="str">
        <f t="shared" si="6"/>
        <v>1</v>
      </c>
      <c r="R7" s="3" t="s">
        <v>82</v>
      </c>
      <c r="S7" s="4" t="str">
        <f t="shared" si="7"/>
        <v>1</v>
      </c>
      <c r="T7" s="3" t="s">
        <v>82</v>
      </c>
      <c r="U7" s="4" t="str">
        <f t="shared" si="8"/>
        <v>1</v>
      </c>
    </row>
    <row r="8">
      <c r="A8" s="3" t="s">
        <v>21</v>
      </c>
      <c r="B8" s="3">
        <v>7.0</v>
      </c>
      <c r="C8" s="3" t="s">
        <v>41</v>
      </c>
      <c r="D8" s="3" t="s">
        <v>134</v>
      </c>
      <c r="E8" s="3" t="s">
        <v>134</v>
      </c>
      <c r="F8" s="3" t="s">
        <v>41</v>
      </c>
      <c r="G8" s="4" t="str">
        <f t="shared" si="1"/>
        <v>0</v>
      </c>
      <c r="H8" s="3" t="s">
        <v>41</v>
      </c>
      <c r="I8" s="4" t="str">
        <f t="shared" si="2"/>
        <v>0</v>
      </c>
      <c r="J8" s="3" t="s">
        <v>41</v>
      </c>
      <c r="K8" s="4" t="str">
        <f t="shared" si="3"/>
        <v>0</v>
      </c>
      <c r="L8" s="3" t="s">
        <v>41</v>
      </c>
      <c r="M8" s="4" t="str">
        <f t="shared" si="4"/>
        <v>0</v>
      </c>
      <c r="N8" s="3" t="s">
        <v>41</v>
      </c>
      <c r="O8" s="4" t="str">
        <f t="shared" si="5"/>
        <v>0</v>
      </c>
      <c r="P8" s="3" t="s">
        <v>41</v>
      </c>
      <c r="Q8" s="4" t="str">
        <f t="shared" si="6"/>
        <v>0</v>
      </c>
      <c r="R8" s="3" t="s">
        <v>41</v>
      </c>
      <c r="S8" s="4" t="str">
        <f t="shared" si="7"/>
        <v>0</v>
      </c>
      <c r="T8" s="3" t="s">
        <v>134</v>
      </c>
      <c r="U8" s="4" t="str">
        <f t="shared" si="8"/>
        <v>1</v>
      </c>
    </row>
    <row r="9">
      <c r="A9" s="3" t="s">
        <v>21</v>
      </c>
      <c r="B9" s="3">
        <v>8.0</v>
      </c>
      <c r="C9" s="3" t="s">
        <v>34</v>
      </c>
      <c r="D9" s="3" t="s">
        <v>155</v>
      </c>
      <c r="E9" s="3" t="s">
        <v>34</v>
      </c>
      <c r="F9" s="3" t="s">
        <v>34</v>
      </c>
      <c r="G9" s="4" t="str">
        <f t="shared" si="1"/>
        <v>1</v>
      </c>
      <c r="H9" s="3" t="s">
        <v>34</v>
      </c>
      <c r="I9" s="4" t="str">
        <f t="shared" si="2"/>
        <v>1</v>
      </c>
      <c r="J9" s="3" t="s">
        <v>34</v>
      </c>
      <c r="K9" s="4" t="str">
        <f t="shared" si="3"/>
        <v>1</v>
      </c>
      <c r="L9" s="3" t="s">
        <v>34</v>
      </c>
      <c r="M9" s="4" t="str">
        <f t="shared" si="4"/>
        <v>1</v>
      </c>
      <c r="N9" s="3" t="s">
        <v>34</v>
      </c>
      <c r="O9" s="4" t="str">
        <f t="shared" si="5"/>
        <v>1</v>
      </c>
      <c r="P9" s="3" t="s">
        <v>34</v>
      </c>
      <c r="Q9" s="4" t="str">
        <f t="shared" si="6"/>
        <v>1</v>
      </c>
      <c r="R9" s="3" t="s">
        <v>34</v>
      </c>
      <c r="S9" s="4" t="str">
        <f t="shared" si="7"/>
        <v>1</v>
      </c>
      <c r="T9" s="3" t="s">
        <v>34</v>
      </c>
      <c r="U9" s="4" t="str">
        <f t="shared" si="8"/>
        <v>1</v>
      </c>
    </row>
    <row r="10">
      <c r="A10" s="3" t="s">
        <v>21</v>
      </c>
      <c r="B10" s="3">
        <v>9.0</v>
      </c>
      <c r="C10" s="3" t="s">
        <v>141</v>
      </c>
      <c r="D10" s="3" t="s">
        <v>39</v>
      </c>
      <c r="E10" s="3" t="s">
        <v>141</v>
      </c>
      <c r="F10" s="3" t="s">
        <v>141</v>
      </c>
      <c r="G10" s="4" t="str">
        <f t="shared" si="1"/>
        <v>1</v>
      </c>
      <c r="H10" s="3" t="s">
        <v>141</v>
      </c>
      <c r="I10" s="4" t="str">
        <f t="shared" si="2"/>
        <v>1</v>
      </c>
      <c r="J10" s="3" t="s">
        <v>141</v>
      </c>
      <c r="K10" s="4" t="str">
        <f t="shared" si="3"/>
        <v>1</v>
      </c>
      <c r="L10" s="3" t="s">
        <v>141</v>
      </c>
      <c r="M10" s="4" t="str">
        <f t="shared" si="4"/>
        <v>1</v>
      </c>
      <c r="N10" s="3" t="s">
        <v>141</v>
      </c>
      <c r="O10" s="4" t="str">
        <f t="shared" si="5"/>
        <v>1</v>
      </c>
      <c r="P10" s="3" t="s">
        <v>141</v>
      </c>
      <c r="Q10" s="4" t="str">
        <f t="shared" si="6"/>
        <v>1</v>
      </c>
      <c r="R10" s="3" t="s">
        <v>141</v>
      </c>
      <c r="S10" s="4" t="str">
        <f t="shared" si="7"/>
        <v>1</v>
      </c>
      <c r="T10" s="3" t="s">
        <v>141</v>
      </c>
      <c r="U10" s="4" t="str">
        <f t="shared" si="8"/>
        <v>1</v>
      </c>
    </row>
    <row r="11">
      <c r="A11" s="3" t="s">
        <v>21</v>
      </c>
      <c r="B11" s="3">
        <v>10.0</v>
      </c>
      <c r="C11" s="3" t="s">
        <v>26</v>
      </c>
      <c r="D11" s="3" t="s">
        <v>156</v>
      </c>
      <c r="E11" s="3" t="s">
        <v>26</v>
      </c>
      <c r="F11" s="3" t="s">
        <v>26</v>
      </c>
      <c r="G11" s="4" t="str">
        <f t="shared" si="1"/>
        <v>1</v>
      </c>
      <c r="H11" s="3" t="s">
        <v>26</v>
      </c>
      <c r="I11" s="4" t="str">
        <f t="shared" si="2"/>
        <v>1</v>
      </c>
      <c r="J11" s="3" t="s">
        <v>156</v>
      </c>
      <c r="K11" s="4" t="str">
        <f t="shared" si="3"/>
        <v>0</v>
      </c>
      <c r="L11" s="3" t="s">
        <v>156</v>
      </c>
      <c r="M11" s="4" t="str">
        <f t="shared" si="4"/>
        <v>0</v>
      </c>
      <c r="N11" s="3" t="s">
        <v>156</v>
      </c>
      <c r="O11" s="4" t="str">
        <f t="shared" si="5"/>
        <v>0</v>
      </c>
      <c r="P11" s="3" t="s">
        <v>156</v>
      </c>
      <c r="Q11" s="4" t="str">
        <f t="shared" si="6"/>
        <v>0</v>
      </c>
      <c r="R11" s="3" t="s">
        <v>156</v>
      </c>
      <c r="S11" s="4" t="str">
        <f t="shared" si="7"/>
        <v>0</v>
      </c>
      <c r="T11" s="3" t="s">
        <v>26</v>
      </c>
      <c r="U11" s="4" t="str">
        <f t="shared" si="8"/>
        <v>1</v>
      </c>
    </row>
    <row r="12">
      <c r="A12" s="3" t="s">
        <v>21</v>
      </c>
      <c r="B12" s="3">
        <v>11.0</v>
      </c>
      <c r="C12" s="3" t="s">
        <v>25</v>
      </c>
      <c r="D12" s="3" t="s">
        <v>64</v>
      </c>
      <c r="E12" s="3" t="s">
        <v>64</v>
      </c>
      <c r="F12" s="3" t="s">
        <v>64</v>
      </c>
      <c r="G12" s="4" t="str">
        <f t="shared" si="1"/>
        <v>1</v>
      </c>
      <c r="H12" s="3" t="s">
        <v>25</v>
      </c>
      <c r="I12" s="4" t="str">
        <f t="shared" si="2"/>
        <v>0</v>
      </c>
      <c r="J12" s="3" t="s">
        <v>25</v>
      </c>
      <c r="K12" s="4" t="str">
        <f t="shared" si="3"/>
        <v>0</v>
      </c>
      <c r="L12" s="3" t="s">
        <v>64</v>
      </c>
      <c r="M12" s="4" t="str">
        <f t="shared" si="4"/>
        <v>1</v>
      </c>
      <c r="N12" s="3" t="s">
        <v>64</v>
      </c>
      <c r="O12" s="4" t="str">
        <f t="shared" si="5"/>
        <v>1</v>
      </c>
      <c r="P12" s="3" t="s">
        <v>25</v>
      </c>
      <c r="Q12" s="4" t="str">
        <f t="shared" si="6"/>
        <v>0</v>
      </c>
      <c r="R12" s="3" t="s">
        <v>25</v>
      </c>
      <c r="S12" s="4" t="str">
        <f t="shared" si="7"/>
        <v>0</v>
      </c>
      <c r="T12" s="3" t="s">
        <v>25</v>
      </c>
      <c r="U12" s="4" t="str">
        <f t="shared" si="8"/>
        <v>0</v>
      </c>
    </row>
    <row r="13">
      <c r="A13" s="3" t="s">
        <v>21</v>
      </c>
      <c r="B13" s="3">
        <v>12.0</v>
      </c>
      <c r="C13" s="3" t="s">
        <v>95</v>
      </c>
      <c r="D13" s="3" t="s">
        <v>122</v>
      </c>
      <c r="E13" s="3" t="s">
        <v>95</v>
      </c>
      <c r="F13" s="3" t="s">
        <v>95</v>
      </c>
      <c r="G13" s="4" t="str">
        <f t="shared" si="1"/>
        <v>1</v>
      </c>
      <c r="H13" s="3" t="s">
        <v>95</v>
      </c>
      <c r="I13" s="4" t="str">
        <f t="shared" si="2"/>
        <v>1</v>
      </c>
      <c r="J13" s="3" t="s">
        <v>95</v>
      </c>
      <c r="K13" s="4" t="str">
        <f t="shared" si="3"/>
        <v>1</v>
      </c>
      <c r="L13" s="3" t="s">
        <v>95</v>
      </c>
      <c r="M13" s="4" t="str">
        <f t="shared" si="4"/>
        <v>1</v>
      </c>
      <c r="N13" s="3" t="s">
        <v>95</v>
      </c>
      <c r="O13" s="4" t="str">
        <f t="shared" si="5"/>
        <v>1</v>
      </c>
      <c r="P13" s="3" t="s">
        <v>95</v>
      </c>
      <c r="Q13" s="4" t="str">
        <f t="shared" si="6"/>
        <v>1</v>
      </c>
      <c r="R13" s="3" t="s">
        <v>95</v>
      </c>
      <c r="S13" s="4" t="str">
        <f t="shared" si="7"/>
        <v>1</v>
      </c>
      <c r="T13" s="3" t="s">
        <v>95</v>
      </c>
      <c r="U13" s="4" t="str">
        <f t="shared" si="8"/>
        <v>1</v>
      </c>
    </row>
    <row r="14">
      <c r="A14" s="3" t="s">
        <v>21</v>
      </c>
      <c r="B14" s="3">
        <v>13.0</v>
      </c>
      <c r="C14" s="3" t="s">
        <v>102</v>
      </c>
      <c r="D14" s="3" t="s">
        <v>111</v>
      </c>
      <c r="E14" s="3" t="s">
        <v>111</v>
      </c>
      <c r="F14" s="3" t="s">
        <v>102</v>
      </c>
      <c r="G14" s="4" t="str">
        <f t="shared" si="1"/>
        <v>0</v>
      </c>
      <c r="H14" s="3" t="s">
        <v>102</v>
      </c>
      <c r="I14" s="4" t="str">
        <f t="shared" si="2"/>
        <v>0</v>
      </c>
      <c r="J14" s="3" t="s">
        <v>102</v>
      </c>
      <c r="K14" s="4" t="str">
        <f t="shared" si="3"/>
        <v>0</v>
      </c>
      <c r="L14" s="3" t="s">
        <v>102</v>
      </c>
      <c r="M14" s="4" t="str">
        <f t="shared" si="4"/>
        <v>0</v>
      </c>
      <c r="N14" s="3" t="s">
        <v>102</v>
      </c>
      <c r="O14" s="4" t="str">
        <f t="shared" si="5"/>
        <v>0</v>
      </c>
      <c r="P14" s="3" t="s">
        <v>102</v>
      </c>
      <c r="Q14" s="4" t="str">
        <f t="shared" si="6"/>
        <v>0</v>
      </c>
      <c r="R14" s="3" t="s">
        <v>102</v>
      </c>
      <c r="S14" s="4" t="str">
        <f t="shared" si="7"/>
        <v>0</v>
      </c>
      <c r="T14" s="3" t="s">
        <v>102</v>
      </c>
      <c r="U14" s="4" t="str">
        <f t="shared" si="8"/>
        <v>0</v>
      </c>
    </row>
    <row r="15">
      <c r="A15" s="3" t="s">
        <v>21</v>
      </c>
      <c r="B15" s="3">
        <v>14.0</v>
      </c>
      <c r="C15" s="3" t="s">
        <v>32</v>
      </c>
      <c r="D15" s="3" t="s">
        <v>157</v>
      </c>
      <c r="E15" s="3" t="s">
        <v>32</v>
      </c>
      <c r="F15" s="3" t="s">
        <v>32</v>
      </c>
      <c r="G15" s="4" t="str">
        <f t="shared" si="1"/>
        <v>1</v>
      </c>
      <c r="H15" s="3" t="s">
        <v>32</v>
      </c>
      <c r="I15" s="4" t="str">
        <f t="shared" si="2"/>
        <v>1</v>
      </c>
      <c r="J15" s="3" t="s">
        <v>32</v>
      </c>
      <c r="K15" s="4" t="str">
        <f t="shared" si="3"/>
        <v>1</v>
      </c>
      <c r="L15" s="3" t="s">
        <v>32</v>
      </c>
      <c r="M15" s="4" t="str">
        <f t="shared" si="4"/>
        <v>1</v>
      </c>
      <c r="N15" s="3" t="s">
        <v>32</v>
      </c>
      <c r="O15" s="4" t="str">
        <f t="shared" si="5"/>
        <v>1</v>
      </c>
      <c r="P15" s="3" t="s">
        <v>32</v>
      </c>
      <c r="Q15" s="4" t="str">
        <f t="shared" si="6"/>
        <v>1</v>
      </c>
      <c r="R15" s="3" t="s">
        <v>32</v>
      </c>
      <c r="S15" s="4" t="str">
        <f t="shared" si="7"/>
        <v>1</v>
      </c>
      <c r="T15" s="3" t="s">
        <v>32</v>
      </c>
      <c r="U15" s="4" t="str">
        <f t="shared" si="8"/>
        <v>1</v>
      </c>
    </row>
    <row r="16">
      <c r="A16" s="3" t="s">
        <v>21</v>
      </c>
      <c r="B16" s="3">
        <v>15.0</v>
      </c>
      <c r="C16" s="3" t="s">
        <v>73</v>
      </c>
      <c r="D16" s="3" t="s">
        <v>28</v>
      </c>
      <c r="E16" s="3" t="s">
        <v>28</v>
      </c>
      <c r="F16" s="3" t="s">
        <v>73</v>
      </c>
      <c r="G16" s="4" t="str">
        <f t="shared" si="1"/>
        <v>0</v>
      </c>
      <c r="H16" s="3" t="s">
        <v>73</v>
      </c>
      <c r="I16" s="4" t="str">
        <f t="shared" si="2"/>
        <v>0</v>
      </c>
      <c r="J16" s="3" t="s">
        <v>73</v>
      </c>
      <c r="K16" s="4" t="str">
        <f t="shared" si="3"/>
        <v>0</v>
      </c>
      <c r="L16" s="3" t="s">
        <v>73</v>
      </c>
      <c r="M16" s="4" t="str">
        <f t="shared" si="4"/>
        <v>0</v>
      </c>
      <c r="N16" s="3" t="s">
        <v>73</v>
      </c>
      <c r="O16" s="4" t="str">
        <f t="shared" si="5"/>
        <v>0</v>
      </c>
      <c r="P16" s="3" t="s">
        <v>73</v>
      </c>
      <c r="Q16" s="4" t="str">
        <f t="shared" si="6"/>
        <v>0</v>
      </c>
      <c r="R16" s="3" t="s">
        <v>73</v>
      </c>
      <c r="S16" s="4" t="str">
        <f t="shared" si="7"/>
        <v>0</v>
      </c>
      <c r="T16" s="3" t="s">
        <v>73</v>
      </c>
      <c r="U16" s="4" t="str">
        <f t="shared" si="8"/>
        <v>0</v>
      </c>
    </row>
    <row r="17">
      <c r="A17" s="3" t="s">
        <v>21</v>
      </c>
      <c r="B17" s="3">
        <v>16.0</v>
      </c>
      <c r="C17" s="3" t="s">
        <v>158</v>
      </c>
      <c r="D17" s="3" t="s">
        <v>159</v>
      </c>
      <c r="E17" s="3" t="s">
        <v>158</v>
      </c>
      <c r="F17" s="3" t="s">
        <v>158</v>
      </c>
      <c r="G17" s="4" t="str">
        <f t="shared" si="1"/>
        <v>1</v>
      </c>
      <c r="H17" s="3" t="s">
        <v>158</v>
      </c>
      <c r="I17" s="4" t="str">
        <f t="shared" si="2"/>
        <v>1</v>
      </c>
      <c r="J17" s="3" t="s">
        <v>158</v>
      </c>
      <c r="K17" s="4" t="str">
        <f t="shared" si="3"/>
        <v>1</v>
      </c>
      <c r="L17" s="3" t="s">
        <v>158</v>
      </c>
      <c r="M17" s="4" t="str">
        <f t="shared" si="4"/>
        <v>1</v>
      </c>
      <c r="N17" s="3" t="s">
        <v>158</v>
      </c>
      <c r="O17" s="4" t="str">
        <f t="shared" si="5"/>
        <v>1</v>
      </c>
      <c r="P17" s="3" t="s">
        <v>158</v>
      </c>
      <c r="Q17" s="4" t="str">
        <f t="shared" si="6"/>
        <v>1</v>
      </c>
      <c r="R17" s="3" t="s">
        <v>158</v>
      </c>
      <c r="S17" s="4" t="str">
        <f t="shared" si="7"/>
        <v>1</v>
      </c>
      <c r="T17" s="3" t="s">
        <v>158</v>
      </c>
      <c r="U17" s="4" t="str">
        <f t="shared" si="8"/>
        <v>1</v>
      </c>
    </row>
    <row r="18">
      <c r="A18" s="3" t="s">
        <v>21</v>
      </c>
      <c r="B18" s="3">
        <v>17.0</v>
      </c>
      <c r="C18" s="3" t="s">
        <v>36</v>
      </c>
      <c r="D18" s="3" t="s">
        <v>160</v>
      </c>
      <c r="E18" s="3" t="s">
        <v>36</v>
      </c>
      <c r="F18" s="3" t="s">
        <v>36</v>
      </c>
      <c r="G18" s="4" t="str">
        <f t="shared" si="1"/>
        <v>1</v>
      </c>
      <c r="H18" s="3" t="s">
        <v>36</v>
      </c>
      <c r="I18" s="4" t="str">
        <f t="shared" si="2"/>
        <v>1</v>
      </c>
      <c r="J18" s="3" t="s">
        <v>36</v>
      </c>
      <c r="K18" s="4" t="str">
        <f t="shared" si="3"/>
        <v>1</v>
      </c>
      <c r="L18" s="3" t="s">
        <v>36</v>
      </c>
      <c r="M18" s="4" t="str">
        <f t="shared" si="4"/>
        <v>1</v>
      </c>
      <c r="N18" s="3" t="s">
        <v>36</v>
      </c>
      <c r="O18" s="4" t="str">
        <f t="shared" si="5"/>
        <v>1</v>
      </c>
      <c r="P18" s="3" t="s">
        <v>36</v>
      </c>
      <c r="Q18" s="4" t="str">
        <f t="shared" si="6"/>
        <v>1</v>
      </c>
      <c r="R18" s="3" t="s">
        <v>36</v>
      </c>
      <c r="S18" s="4" t="str">
        <f t="shared" si="7"/>
        <v>1</v>
      </c>
      <c r="T18" s="3" t="s">
        <v>36</v>
      </c>
      <c r="U18" s="4" t="str">
        <f t="shared" si="8"/>
        <v>1</v>
      </c>
    </row>
    <row r="19">
      <c r="A19" s="3" t="s">
        <v>21</v>
      </c>
      <c r="B19" s="3">
        <v>18.0</v>
      </c>
      <c r="C19" s="3" t="s">
        <v>132</v>
      </c>
      <c r="D19" s="3" t="s">
        <v>38</v>
      </c>
      <c r="E19" s="3" t="s">
        <v>38</v>
      </c>
      <c r="F19" s="3" t="s">
        <v>38</v>
      </c>
      <c r="G19" s="4" t="str">
        <f t="shared" si="1"/>
        <v>1</v>
      </c>
      <c r="H19" s="3" t="s">
        <v>132</v>
      </c>
      <c r="I19" s="4" t="str">
        <f t="shared" si="2"/>
        <v>0</v>
      </c>
      <c r="J19" s="3" t="s">
        <v>38</v>
      </c>
      <c r="K19" s="4" t="str">
        <f t="shared" si="3"/>
        <v>1</v>
      </c>
      <c r="L19" s="3" t="s">
        <v>38</v>
      </c>
      <c r="M19" s="4" t="str">
        <f t="shared" si="4"/>
        <v>1</v>
      </c>
      <c r="N19" s="3" t="s">
        <v>38</v>
      </c>
      <c r="O19" s="4" t="str">
        <f t="shared" si="5"/>
        <v>1</v>
      </c>
      <c r="P19" s="3" t="s">
        <v>132</v>
      </c>
      <c r="Q19" s="4" t="str">
        <f t="shared" si="6"/>
        <v>0</v>
      </c>
      <c r="R19" s="3" t="s">
        <v>132</v>
      </c>
      <c r="S19" s="4" t="str">
        <f t="shared" si="7"/>
        <v>0</v>
      </c>
      <c r="T19" s="3" t="s">
        <v>132</v>
      </c>
      <c r="U19" s="4" t="str">
        <f t="shared" si="8"/>
        <v>0</v>
      </c>
    </row>
    <row r="20">
      <c r="A20" s="3" t="s">
        <v>21</v>
      </c>
      <c r="B20" s="3">
        <v>19.0</v>
      </c>
      <c r="C20" s="3" t="s">
        <v>149</v>
      </c>
      <c r="D20" s="3" t="s">
        <v>161</v>
      </c>
      <c r="E20" s="3" t="s">
        <v>149</v>
      </c>
      <c r="F20" s="3" t="s">
        <v>149</v>
      </c>
      <c r="G20" s="4" t="str">
        <f t="shared" si="1"/>
        <v>1</v>
      </c>
      <c r="H20" s="3" t="s">
        <v>149</v>
      </c>
      <c r="I20" s="4" t="str">
        <f t="shared" si="2"/>
        <v>1</v>
      </c>
      <c r="J20" s="3" t="s">
        <v>149</v>
      </c>
      <c r="K20" s="4" t="str">
        <f t="shared" si="3"/>
        <v>1</v>
      </c>
      <c r="L20" s="3" t="s">
        <v>149</v>
      </c>
      <c r="M20" s="4" t="str">
        <f t="shared" si="4"/>
        <v>1</v>
      </c>
      <c r="N20" s="3" t="s">
        <v>149</v>
      </c>
      <c r="O20" s="4" t="str">
        <f t="shared" si="5"/>
        <v>1</v>
      </c>
      <c r="P20" s="3" t="s">
        <v>149</v>
      </c>
      <c r="Q20" s="4" t="str">
        <f t="shared" si="6"/>
        <v>1</v>
      </c>
      <c r="R20" s="3" t="s">
        <v>149</v>
      </c>
      <c r="S20" s="4" t="str">
        <f t="shared" si="7"/>
        <v>1</v>
      </c>
      <c r="T20" s="3" t="s">
        <v>149</v>
      </c>
      <c r="U20" s="4" t="str">
        <f t="shared" si="8"/>
        <v>1</v>
      </c>
    </row>
    <row r="21">
      <c r="A21" s="3" t="s">
        <v>21</v>
      </c>
      <c r="B21" s="3">
        <v>20.0</v>
      </c>
      <c r="C21" s="3" t="s">
        <v>55</v>
      </c>
      <c r="D21" s="3" t="s">
        <v>46</v>
      </c>
      <c r="E21" s="3" t="s">
        <v>55</v>
      </c>
      <c r="F21" s="3" t="s">
        <v>55</v>
      </c>
      <c r="G21" s="4" t="str">
        <f t="shared" si="1"/>
        <v>1</v>
      </c>
      <c r="H21" s="3" t="s">
        <v>55</v>
      </c>
      <c r="I21" s="4" t="str">
        <f t="shared" si="2"/>
        <v>1</v>
      </c>
      <c r="J21" s="3" t="s">
        <v>55</v>
      </c>
      <c r="K21" s="4" t="str">
        <f t="shared" si="3"/>
        <v>1</v>
      </c>
      <c r="L21" s="3" t="s">
        <v>55</v>
      </c>
      <c r="M21" s="4" t="str">
        <f t="shared" si="4"/>
        <v>1</v>
      </c>
      <c r="N21" s="3" t="s">
        <v>55</v>
      </c>
      <c r="O21" s="4" t="str">
        <f t="shared" si="5"/>
        <v>1</v>
      </c>
      <c r="P21" s="3" t="s">
        <v>55</v>
      </c>
      <c r="Q21" s="4" t="str">
        <f t="shared" si="6"/>
        <v>1</v>
      </c>
      <c r="R21" s="3" t="s">
        <v>55</v>
      </c>
      <c r="S21" s="4" t="str">
        <f t="shared" si="7"/>
        <v>1</v>
      </c>
      <c r="T21" s="3" t="s">
        <v>55</v>
      </c>
      <c r="U21" s="4" t="str">
        <f t="shared" si="8"/>
        <v>1</v>
      </c>
    </row>
    <row r="22">
      <c r="A22" s="3" t="s">
        <v>21</v>
      </c>
      <c r="B22" s="3">
        <v>21.0</v>
      </c>
      <c r="C22" s="3" t="s">
        <v>127</v>
      </c>
      <c r="D22" s="3" t="s">
        <v>119</v>
      </c>
      <c r="E22" s="3" t="s">
        <v>127</v>
      </c>
      <c r="F22" s="3" t="s">
        <v>127</v>
      </c>
      <c r="G22" s="4" t="str">
        <f t="shared" si="1"/>
        <v>1</v>
      </c>
      <c r="H22" s="3" t="s">
        <v>127</v>
      </c>
      <c r="I22" s="4" t="str">
        <f t="shared" si="2"/>
        <v>1</v>
      </c>
      <c r="J22" s="3" t="s">
        <v>127</v>
      </c>
      <c r="K22" s="4" t="str">
        <f t="shared" si="3"/>
        <v>1</v>
      </c>
      <c r="L22" s="3" t="s">
        <v>127</v>
      </c>
      <c r="M22" s="4" t="str">
        <f t="shared" si="4"/>
        <v>1</v>
      </c>
      <c r="N22" s="3" t="s">
        <v>127</v>
      </c>
      <c r="O22" s="4" t="str">
        <f t="shared" si="5"/>
        <v>1</v>
      </c>
      <c r="P22" s="3" t="s">
        <v>127</v>
      </c>
      <c r="Q22" s="4" t="str">
        <f t="shared" si="6"/>
        <v>1</v>
      </c>
      <c r="R22" s="3" t="s">
        <v>127</v>
      </c>
      <c r="S22" s="4" t="str">
        <f t="shared" si="7"/>
        <v>1</v>
      </c>
      <c r="T22" s="3" t="s">
        <v>127</v>
      </c>
      <c r="U22" s="4" t="str">
        <f t="shared" si="8"/>
        <v>1</v>
      </c>
    </row>
    <row r="23">
      <c r="A23" s="3" t="s">
        <v>21</v>
      </c>
      <c r="B23" s="3">
        <v>22.0</v>
      </c>
      <c r="C23" s="3" t="s">
        <v>83</v>
      </c>
      <c r="D23" s="3" t="s">
        <v>162</v>
      </c>
      <c r="E23" s="3" t="s">
        <v>83</v>
      </c>
      <c r="F23" s="3" t="s">
        <v>83</v>
      </c>
      <c r="G23" s="4" t="str">
        <f t="shared" si="1"/>
        <v>1</v>
      </c>
      <c r="H23" s="3" t="s">
        <v>83</v>
      </c>
      <c r="I23" s="4" t="str">
        <f t="shared" si="2"/>
        <v>1</v>
      </c>
      <c r="J23" s="3" t="s">
        <v>83</v>
      </c>
      <c r="K23" s="4" t="str">
        <f t="shared" si="3"/>
        <v>1</v>
      </c>
      <c r="L23" s="3" t="s">
        <v>83</v>
      </c>
      <c r="M23" s="4" t="str">
        <f t="shared" si="4"/>
        <v>1</v>
      </c>
      <c r="N23" s="3" t="s">
        <v>83</v>
      </c>
      <c r="O23" s="4" t="str">
        <f t="shared" si="5"/>
        <v>1</v>
      </c>
      <c r="P23" s="3" t="s">
        <v>83</v>
      </c>
      <c r="Q23" s="4" t="str">
        <f t="shared" si="6"/>
        <v>1</v>
      </c>
      <c r="R23" s="3" t="s">
        <v>83</v>
      </c>
      <c r="S23" s="4" t="str">
        <f t="shared" si="7"/>
        <v>1</v>
      </c>
      <c r="T23" s="3" t="s">
        <v>83</v>
      </c>
      <c r="U23" s="4" t="str">
        <f t="shared" si="8"/>
        <v>1</v>
      </c>
    </row>
    <row r="24">
      <c r="A24" s="3" t="s">
        <v>21</v>
      </c>
      <c r="B24" s="3">
        <v>23.0</v>
      </c>
      <c r="C24" s="3" t="s">
        <v>43</v>
      </c>
      <c r="D24" s="3" t="s">
        <v>163</v>
      </c>
      <c r="E24" s="3" t="s">
        <v>43</v>
      </c>
      <c r="F24" s="3" t="s">
        <v>43</v>
      </c>
      <c r="G24" s="4" t="str">
        <f t="shared" si="1"/>
        <v>1</v>
      </c>
      <c r="H24" s="3" t="s">
        <v>43</v>
      </c>
      <c r="I24" s="4" t="str">
        <f t="shared" si="2"/>
        <v>1</v>
      </c>
      <c r="J24" s="3" t="s">
        <v>163</v>
      </c>
      <c r="K24" s="4" t="str">
        <f t="shared" si="3"/>
        <v>0</v>
      </c>
      <c r="L24" s="3" t="s">
        <v>163</v>
      </c>
      <c r="M24" s="4" t="str">
        <f t="shared" si="4"/>
        <v>0</v>
      </c>
      <c r="N24" s="3" t="s">
        <v>163</v>
      </c>
      <c r="O24" s="4" t="str">
        <f t="shared" si="5"/>
        <v>0</v>
      </c>
      <c r="P24" s="3" t="s">
        <v>163</v>
      </c>
      <c r="Q24" s="4" t="str">
        <f t="shared" si="6"/>
        <v>0</v>
      </c>
      <c r="R24" s="3" t="s">
        <v>43</v>
      </c>
      <c r="S24" s="4" t="str">
        <f t="shared" si="7"/>
        <v>1</v>
      </c>
      <c r="T24" s="3" t="s">
        <v>43</v>
      </c>
      <c r="U24" s="4" t="str">
        <f t="shared" si="8"/>
        <v>1</v>
      </c>
    </row>
    <row r="25">
      <c r="A25" s="3" t="s">
        <v>21</v>
      </c>
      <c r="B25" s="3">
        <v>24.0</v>
      </c>
      <c r="C25" s="3" t="s">
        <v>30</v>
      </c>
      <c r="D25" s="3" t="s">
        <v>164</v>
      </c>
      <c r="E25" s="3" t="s">
        <v>30</v>
      </c>
      <c r="F25" s="3" t="s">
        <v>30</v>
      </c>
      <c r="G25" s="4" t="str">
        <f t="shared" si="1"/>
        <v>1</v>
      </c>
      <c r="H25" s="3" t="s">
        <v>30</v>
      </c>
      <c r="I25" s="4" t="str">
        <f t="shared" si="2"/>
        <v>1</v>
      </c>
      <c r="J25" s="3" t="s">
        <v>30</v>
      </c>
      <c r="K25" s="4" t="str">
        <f t="shared" si="3"/>
        <v>1</v>
      </c>
      <c r="L25" s="3" t="s">
        <v>30</v>
      </c>
      <c r="M25" s="4" t="str">
        <f t="shared" si="4"/>
        <v>1</v>
      </c>
      <c r="N25" s="3" t="s">
        <v>30</v>
      </c>
      <c r="O25" s="4" t="str">
        <f t="shared" si="5"/>
        <v>1</v>
      </c>
      <c r="P25" s="3" t="s">
        <v>30</v>
      </c>
      <c r="Q25" s="4" t="str">
        <f t="shared" si="6"/>
        <v>1</v>
      </c>
      <c r="R25" s="3" t="s">
        <v>30</v>
      </c>
      <c r="S25" s="4" t="str">
        <f t="shared" si="7"/>
        <v>1</v>
      </c>
      <c r="T25" s="3" t="s">
        <v>30</v>
      </c>
      <c r="U25" s="4" t="str">
        <f t="shared" si="8"/>
        <v>1</v>
      </c>
    </row>
    <row r="26">
      <c r="A26" s="3" t="s">
        <v>21</v>
      </c>
      <c r="B26" s="3">
        <v>25.0</v>
      </c>
      <c r="C26" s="3" t="s">
        <v>59</v>
      </c>
      <c r="D26" s="3" t="s">
        <v>165</v>
      </c>
      <c r="E26" s="3" t="s">
        <v>59</v>
      </c>
      <c r="F26" s="3" t="s">
        <v>59</v>
      </c>
      <c r="G26" s="4" t="str">
        <f t="shared" si="1"/>
        <v>1</v>
      </c>
      <c r="H26" s="3" t="s">
        <v>59</v>
      </c>
      <c r="I26" s="4" t="str">
        <f t="shared" si="2"/>
        <v>1</v>
      </c>
      <c r="J26" s="3" t="s">
        <v>59</v>
      </c>
      <c r="K26" s="4" t="str">
        <f t="shared" si="3"/>
        <v>1</v>
      </c>
      <c r="L26" s="3" t="s">
        <v>59</v>
      </c>
      <c r="M26" s="4" t="str">
        <f t="shared" si="4"/>
        <v>1</v>
      </c>
      <c r="N26" s="3" t="s">
        <v>59</v>
      </c>
      <c r="O26" s="4" t="str">
        <f t="shared" si="5"/>
        <v>1</v>
      </c>
      <c r="P26" s="3" t="s">
        <v>59</v>
      </c>
      <c r="Q26" s="4" t="str">
        <f t="shared" si="6"/>
        <v>1</v>
      </c>
      <c r="R26" s="3" t="s">
        <v>59</v>
      </c>
      <c r="S26" s="4" t="str">
        <f t="shared" si="7"/>
        <v>1</v>
      </c>
      <c r="T26" s="3" t="s">
        <v>59</v>
      </c>
      <c r="U26" s="4" t="str">
        <f t="shared" si="8"/>
        <v>1</v>
      </c>
    </row>
    <row r="27">
      <c r="A27" s="3" t="s">
        <v>21</v>
      </c>
      <c r="B27" s="3">
        <v>26.0</v>
      </c>
      <c r="C27" s="3" t="s">
        <v>22</v>
      </c>
      <c r="D27" s="3" t="s">
        <v>166</v>
      </c>
      <c r="E27" s="3" t="s">
        <v>22</v>
      </c>
      <c r="F27" s="3" t="s">
        <v>22</v>
      </c>
      <c r="G27" s="4" t="str">
        <f t="shared" si="1"/>
        <v>1</v>
      </c>
      <c r="H27" s="3" t="s">
        <v>22</v>
      </c>
      <c r="I27" s="4" t="str">
        <f t="shared" si="2"/>
        <v>1</v>
      </c>
      <c r="J27" s="3" t="s">
        <v>166</v>
      </c>
      <c r="K27" s="4" t="str">
        <f t="shared" si="3"/>
        <v>0</v>
      </c>
      <c r="L27" s="3" t="s">
        <v>166</v>
      </c>
      <c r="M27" s="4" t="str">
        <f t="shared" si="4"/>
        <v>0</v>
      </c>
      <c r="N27" s="3" t="s">
        <v>166</v>
      </c>
      <c r="O27" s="4" t="str">
        <f t="shared" si="5"/>
        <v>0</v>
      </c>
      <c r="P27" s="3" t="s">
        <v>166</v>
      </c>
      <c r="Q27" s="4" t="str">
        <f t="shared" si="6"/>
        <v>0</v>
      </c>
      <c r="R27" s="3" t="s">
        <v>166</v>
      </c>
      <c r="S27" s="4" t="str">
        <f t="shared" si="7"/>
        <v>0</v>
      </c>
      <c r="T27" s="3" t="s">
        <v>22</v>
      </c>
      <c r="U27" s="4" t="str">
        <f t="shared" si="8"/>
        <v>1</v>
      </c>
    </row>
    <row r="28">
      <c r="A28" s="3" t="s">
        <v>21</v>
      </c>
      <c r="B28" s="3">
        <v>27.0</v>
      </c>
      <c r="C28" s="3" t="s">
        <v>133</v>
      </c>
      <c r="D28" s="3" t="s">
        <v>146</v>
      </c>
      <c r="E28" s="3" t="s">
        <v>146</v>
      </c>
      <c r="F28" s="3" t="s">
        <v>133</v>
      </c>
      <c r="G28" s="4" t="str">
        <f t="shared" si="1"/>
        <v>0</v>
      </c>
      <c r="H28" s="3" t="s">
        <v>133</v>
      </c>
      <c r="I28" s="4" t="str">
        <f t="shared" si="2"/>
        <v>0</v>
      </c>
      <c r="J28" s="3" t="s">
        <v>133</v>
      </c>
      <c r="K28" s="4" t="str">
        <f t="shared" si="3"/>
        <v>0</v>
      </c>
      <c r="L28" s="3" t="s">
        <v>133</v>
      </c>
      <c r="M28" s="4" t="str">
        <f t="shared" si="4"/>
        <v>0</v>
      </c>
      <c r="N28" s="3" t="s">
        <v>133</v>
      </c>
      <c r="O28" s="4" t="str">
        <f t="shared" si="5"/>
        <v>0</v>
      </c>
      <c r="P28" s="3" t="s">
        <v>133</v>
      </c>
      <c r="Q28" s="4" t="str">
        <f t="shared" si="6"/>
        <v>0</v>
      </c>
      <c r="R28" s="3" t="s">
        <v>133</v>
      </c>
      <c r="S28" s="4" t="str">
        <f t="shared" si="7"/>
        <v>0</v>
      </c>
      <c r="T28" s="3" t="s">
        <v>133</v>
      </c>
      <c r="U28" s="4" t="str">
        <f t="shared" si="8"/>
        <v>0</v>
      </c>
    </row>
    <row r="29">
      <c r="A29" s="3" t="s">
        <v>21</v>
      </c>
      <c r="B29" s="3">
        <v>28.0</v>
      </c>
      <c r="C29" s="3" t="s">
        <v>49</v>
      </c>
      <c r="D29" s="3" t="s">
        <v>167</v>
      </c>
      <c r="E29" s="3" t="s">
        <v>49</v>
      </c>
      <c r="F29" s="3" t="s">
        <v>49</v>
      </c>
      <c r="G29" s="4" t="str">
        <f t="shared" si="1"/>
        <v>1</v>
      </c>
      <c r="H29" s="3" t="s">
        <v>49</v>
      </c>
      <c r="I29" s="4" t="str">
        <f t="shared" si="2"/>
        <v>1</v>
      </c>
      <c r="J29" s="3" t="s">
        <v>49</v>
      </c>
      <c r="K29" s="4" t="str">
        <f t="shared" si="3"/>
        <v>1</v>
      </c>
      <c r="L29" s="3" t="s">
        <v>49</v>
      </c>
      <c r="M29" s="4" t="str">
        <f t="shared" si="4"/>
        <v>1</v>
      </c>
      <c r="N29" s="3" t="s">
        <v>49</v>
      </c>
      <c r="O29" s="4" t="str">
        <f t="shared" si="5"/>
        <v>1</v>
      </c>
      <c r="P29" s="3" t="s">
        <v>49</v>
      </c>
      <c r="Q29" s="4" t="str">
        <f t="shared" si="6"/>
        <v>1</v>
      </c>
      <c r="R29" s="3" t="s">
        <v>49</v>
      </c>
      <c r="S29" s="4" t="str">
        <f t="shared" si="7"/>
        <v>1</v>
      </c>
      <c r="T29" s="3" t="s">
        <v>49</v>
      </c>
      <c r="U29" s="4" t="str">
        <f t="shared" si="8"/>
        <v>1</v>
      </c>
    </row>
    <row r="30">
      <c r="A30" s="3" t="s">
        <v>21</v>
      </c>
      <c r="B30" s="3">
        <v>29.0</v>
      </c>
      <c r="C30" s="3" t="s">
        <v>61</v>
      </c>
      <c r="D30" s="3" t="s">
        <v>114</v>
      </c>
      <c r="E30" s="3" t="s">
        <v>61</v>
      </c>
      <c r="F30" s="3" t="s">
        <v>63</v>
      </c>
      <c r="G30" s="4" t="str">
        <f t="shared" si="1"/>
        <v>0</v>
      </c>
      <c r="H30" s="3" t="s">
        <v>63</v>
      </c>
      <c r="I30" s="4" t="str">
        <f t="shared" si="2"/>
        <v>0</v>
      </c>
      <c r="J30" s="3" t="s">
        <v>63</v>
      </c>
      <c r="K30" s="4" t="str">
        <f t="shared" si="3"/>
        <v>0</v>
      </c>
      <c r="L30" s="3" t="s">
        <v>63</v>
      </c>
      <c r="M30" s="4" t="str">
        <f t="shared" si="4"/>
        <v>0</v>
      </c>
      <c r="N30" s="3" t="s">
        <v>63</v>
      </c>
      <c r="O30" s="4" t="str">
        <f t="shared" si="5"/>
        <v>0</v>
      </c>
      <c r="P30" s="3" t="s">
        <v>114</v>
      </c>
      <c r="Q30" s="4" t="str">
        <f t="shared" si="6"/>
        <v>0</v>
      </c>
      <c r="R30" s="3" t="s">
        <v>63</v>
      </c>
      <c r="S30" s="4" t="str">
        <f t="shared" si="7"/>
        <v>0</v>
      </c>
      <c r="T30" s="3" t="s">
        <v>63</v>
      </c>
      <c r="U30" s="4" t="str">
        <f t="shared" si="8"/>
        <v>0</v>
      </c>
    </row>
    <row r="31">
      <c r="A31" s="3" t="s">
        <v>21</v>
      </c>
      <c r="B31" s="3">
        <v>30.0</v>
      </c>
      <c r="C31" s="3" t="s">
        <v>53</v>
      </c>
      <c r="D31" s="3" t="s">
        <v>168</v>
      </c>
      <c r="E31" s="3" t="s">
        <v>53</v>
      </c>
      <c r="F31" s="3" t="s">
        <v>53</v>
      </c>
      <c r="G31" s="4" t="str">
        <f t="shared" si="1"/>
        <v>1</v>
      </c>
      <c r="H31" s="3" t="s">
        <v>53</v>
      </c>
      <c r="I31" s="4" t="str">
        <f t="shared" si="2"/>
        <v>1</v>
      </c>
      <c r="J31" s="3" t="s">
        <v>53</v>
      </c>
      <c r="K31" s="4" t="str">
        <f t="shared" si="3"/>
        <v>1</v>
      </c>
      <c r="L31" s="3" t="s">
        <v>53</v>
      </c>
      <c r="M31" s="4" t="str">
        <f t="shared" si="4"/>
        <v>1</v>
      </c>
      <c r="N31" s="3" t="s">
        <v>53</v>
      </c>
      <c r="O31" s="4" t="str">
        <f t="shared" si="5"/>
        <v>1</v>
      </c>
      <c r="P31" s="3" t="s">
        <v>53</v>
      </c>
      <c r="Q31" s="4" t="str">
        <f t="shared" si="6"/>
        <v>1</v>
      </c>
      <c r="R31" s="3" t="s">
        <v>53</v>
      </c>
      <c r="S31" s="4" t="str">
        <f t="shared" si="7"/>
        <v>1</v>
      </c>
      <c r="T31" s="3" t="s">
        <v>53</v>
      </c>
      <c r="U31" s="4" t="str">
        <f t="shared" si="8"/>
        <v>1</v>
      </c>
    </row>
    <row r="32">
      <c r="A32" s="3" t="s">
        <v>21</v>
      </c>
      <c r="B32" s="3">
        <v>31.0</v>
      </c>
      <c r="C32" s="3" t="s">
        <v>45</v>
      </c>
      <c r="D32" s="3" t="s">
        <v>103</v>
      </c>
      <c r="E32" s="3" t="s">
        <v>45</v>
      </c>
      <c r="F32" s="3" t="s">
        <v>45</v>
      </c>
      <c r="G32" s="4" t="str">
        <f t="shared" si="1"/>
        <v>1</v>
      </c>
      <c r="H32" s="3" t="s">
        <v>45</v>
      </c>
      <c r="I32" s="4" t="str">
        <f t="shared" si="2"/>
        <v>1</v>
      </c>
      <c r="J32" s="3" t="s">
        <v>45</v>
      </c>
      <c r="K32" s="4" t="str">
        <f t="shared" si="3"/>
        <v>1</v>
      </c>
      <c r="L32" s="3" t="s">
        <v>45</v>
      </c>
      <c r="M32" s="4" t="str">
        <f t="shared" si="4"/>
        <v>1</v>
      </c>
      <c r="N32" s="3" t="s">
        <v>45</v>
      </c>
      <c r="O32" s="4" t="str">
        <f t="shared" si="5"/>
        <v>1</v>
      </c>
      <c r="P32" s="3" t="s">
        <v>45</v>
      </c>
      <c r="Q32" s="4" t="str">
        <f t="shared" si="6"/>
        <v>1</v>
      </c>
      <c r="R32" s="3" t="s">
        <v>45</v>
      </c>
      <c r="S32" s="4" t="str">
        <f t="shared" si="7"/>
        <v>1</v>
      </c>
      <c r="T32" s="3" t="s">
        <v>45</v>
      </c>
      <c r="U32" s="4" t="str">
        <f t="shared" si="8"/>
        <v>1</v>
      </c>
    </row>
    <row r="33">
      <c r="A33" s="3" t="s">
        <v>21</v>
      </c>
      <c r="B33" s="3">
        <v>32.0</v>
      </c>
      <c r="C33" s="3" t="s">
        <v>66</v>
      </c>
      <c r="D33" s="3" t="s">
        <v>169</v>
      </c>
      <c r="E33" s="3" t="s">
        <v>66</v>
      </c>
      <c r="F33" s="3" t="s">
        <v>66</v>
      </c>
      <c r="G33" s="4" t="str">
        <f t="shared" si="1"/>
        <v>1</v>
      </c>
      <c r="H33" s="3" t="s">
        <v>66</v>
      </c>
      <c r="I33" s="4" t="str">
        <f t="shared" si="2"/>
        <v>1</v>
      </c>
      <c r="J33" s="3" t="s">
        <v>66</v>
      </c>
      <c r="K33" s="4" t="str">
        <f t="shared" si="3"/>
        <v>1</v>
      </c>
      <c r="L33" s="3" t="s">
        <v>66</v>
      </c>
      <c r="M33" s="4" t="str">
        <f t="shared" si="4"/>
        <v>1</v>
      </c>
      <c r="N33" s="3" t="s">
        <v>66</v>
      </c>
      <c r="O33" s="4" t="str">
        <f t="shared" si="5"/>
        <v>1</v>
      </c>
      <c r="P33" s="3" t="s">
        <v>66</v>
      </c>
      <c r="Q33" s="4" t="str">
        <f t="shared" si="6"/>
        <v>1</v>
      </c>
      <c r="R33" s="3" t="s">
        <v>66</v>
      </c>
      <c r="S33" s="4" t="str">
        <f t="shared" si="7"/>
        <v>1</v>
      </c>
      <c r="T33" s="3" t="s">
        <v>66</v>
      </c>
      <c r="U33" s="4" t="str">
        <f t="shared" si="8"/>
        <v>1</v>
      </c>
    </row>
    <row r="34">
      <c r="A34" s="3" t="s">
        <v>89</v>
      </c>
      <c r="B34" s="3">
        <v>1.0</v>
      </c>
      <c r="C34" s="3" t="s">
        <v>87</v>
      </c>
      <c r="D34" s="3" t="s">
        <v>76</v>
      </c>
      <c r="E34" s="3" t="s">
        <v>87</v>
      </c>
      <c r="F34" s="3" t="s">
        <v>87</v>
      </c>
      <c r="G34" s="4" t="str">
        <f t="shared" si="1"/>
        <v>1</v>
      </c>
      <c r="H34" s="3" t="s">
        <v>87</v>
      </c>
      <c r="I34" s="4" t="str">
        <f t="shared" si="2"/>
        <v>1</v>
      </c>
      <c r="J34" s="3" t="s">
        <v>87</v>
      </c>
      <c r="K34" s="4" t="str">
        <f t="shared" si="3"/>
        <v>1</v>
      </c>
      <c r="L34" s="3" t="s">
        <v>87</v>
      </c>
      <c r="M34" s="4" t="str">
        <f t="shared" si="4"/>
        <v>1</v>
      </c>
      <c r="N34" s="3" t="s">
        <v>87</v>
      </c>
      <c r="O34" s="4" t="str">
        <f t="shared" si="5"/>
        <v>1</v>
      </c>
      <c r="P34" s="3" t="s">
        <v>87</v>
      </c>
      <c r="Q34" s="4" t="str">
        <f t="shared" si="6"/>
        <v>1</v>
      </c>
      <c r="R34" s="3" t="s">
        <v>87</v>
      </c>
      <c r="S34" s="4" t="str">
        <f t="shared" si="7"/>
        <v>1</v>
      </c>
      <c r="T34" s="3" t="s">
        <v>87</v>
      </c>
      <c r="U34" s="4" t="str">
        <f t="shared" si="8"/>
        <v>1</v>
      </c>
    </row>
    <row r="35">
      <c r="A35" s="3" t="s">
        <v>89</v>
      </c>
      <c r="B35" s="3">
        <v>2.0</v>
      </c>
      <c r="C35" s="3" t="s">
        <v>65</v>
      </c>
      <c r="D35" s="3" t="s">
        <v>116</v>
      </c>
      <c r="E35" s="3" t="s">
        <v>65</v>
      </c>
      <c r="F35" s="3" t="s">
        <v>116</v>
      </c>
      <c r="G35" s="4" t="str">
        <f t="shared" si="1"/>
        <v>0</v>
      </c>
      <c r="H35" s="3" t="s">
        <v>65</v>
      </c>
      <c r="I35" s="4" t="str">
        <f t="shared" si="2"/>
        <v>1</v>
      </c>
      <c r="J35" s="3" t="s">
        <v>65</v>
      </c>
      <c r="K35" s="4" t="str">
        <f t="shared" si="3"/>
        <v>1</v>
      </c>
      <c r="L35" s="3" t="s">
        <v>116</v>
      </c>
      <c r="M35" s="4" t="str">
        <f t="shared" si="4"/>
        <v>0</v>
      </c>
      <c r="N35" s="3" t="s">
        <v>116</v>
      </c>
      <c r="O35" s="4" t="str">
        <f t="shared" si="5"/>
        <v>0</v>
      </c>
      <c r="P35" s="3" t="s">
        <v>116</v>
      </c>
      <c r="Q35" s="4" t="str">
        <f t="shared" si="6"/>
        <v>0</v>
      </c>
      <c r="R35" s="3" t="s">
        <v>65</v>
      </c>
      <c r="S35" s="4" t="str">
        <f t="shared" si="7"/>
        <v>1</v>
      </c>
      <c r="T35" s="3" t="s">
        <v>116</v>
      </c>
      <c r="U35" s="4" t="str">
        <f t="shared" si="8"/>
        <v>0</v>
      </c>
    </row>
    <row r="36">
      <c r="A36" s="3" t="s">
        <v>89</v>
      </c>
      <c r="B36" s="3">
        <v>3.0</v>
      </c>
      <c r="C36" s="3" t="s">
        <v>153</v>
      </c>
      <c r="D36" s="3" t="s">
        <v>82</v>
      </c>
      <c r="E36" s="3" t="s">
        <v>153</v>
      </c>
      <c r="F36" s="3" t="s">
        <v>82</v>
      </c>
      <c r="G36" s="4" t="str">
        <f t="shared" si="1"/>
        <v>0</v>
      </c>
      <c r="H36" s="3" t="s">
        <v>82</v>
      </c>
      <c r="I36" s="4" t="str">
        <f t="shared" si="2"/>
        <v>0</v>
      </c>
      <c r="J36" s="3" t="s">
        <v>153</v>
      </c>
      <c r="K36" s="4" t="str">
        <f t="shared" si="3"/>
        <v>1</v>
      </c>
      <c r="L36" s="3" t="s">
        <v>82</v>
      </c>
      <c r="M36" s="4" t="str">
        <f t="shared" si="4"/>
        <v>0</v>
      </c>
      <c r="N36" s="3" t="s">
        <v>153</v>
      </c>
      <c r="O36" s="4" t="str">
        <f t="shared" si="5"/>
        <v>1</v>
      </c>
      <c r="P36" s="3" t="s">
        <v>153</v>
      </c>
      <c r="Q36" s="4" t="str">
        <f t="shared" si="6"/>
        <v>1</v>
      </c>
      <c r="R36" s="3" t="s">
        <v>153</v>
      </c>
      <c r="S36" s="4" t="str">
        <f t="shared" si="7"/>
        <v>1</v>
      </c>
      <c r="T36" s="3" t="s">
        <v>82</v>
      </c>
      <c r="U36" s="4" t="str">
        <f t="shared" si="8"/>
        <v>0</v>
      </c>
    </row>
    <row r="37">
      <c r="A37" s="3" t="s">
        <v>89</v>
      </c>
      <c r="B37" s="3">
        <v>4.0</v>
      </c>
      <c r="C37" s="3" t="s">
        <v>134</v>
      </c>
      <c r="D37" s="3" t="s">
        <v>34</v>
      </c>
      <c r="E37" s="3" t="s">
        <v>34</v>
      </c>
      <c r="F37" s="3" t="s">
        <v>34</v>
      </c>
      <c r="G37" s="4" t="str">
        <f t="shared" si="1"/>
        <v>1</v>
      </c>
      <c r="H37" s="3" t="s">
        <v>34</v>
      </c>
      <c r="I37" s="4" t="str">
        <f t="shared" si="2"/>
        <v>1</v>
      </c>
      <c r="J37" s="3" t="s">
        <v>34</v>
      </c>
      <c r="K37" s="4" t="str">
        <f t="shared" si="3"/>
        <v>1</v>
      </c>
      <c r="L37" s="3" t="s">
        <v>34</v>
      </c>
      <c r="M37" s="4" t="str">
        <f t="shared" si="4"/>
        <v>1</v>
      </c>
      <c r="N37" s="3" t="s">
        <v>34</v>
      </c>
      <c r="O37" s="4" t="str">
        <f t="shared" si="5"/>
        <v>1</v>
      </c>
      <c r="P37" s="3" t="s">
        <v>41</v>
      </c>
      <c r="Q37" s="4" t="str">
        <f t="shared" si="6"/>
        <v>0</v>
      </c>
      <c r="R37" s="3" t="s">
        <v>34</v>
      </c>
      <c r="S37" s="4" t="str">
        <f t="shared" si="7"/>
        <v>1</v>
      </c>
      <c r="T37" s="3" t="s">
        <v>34</v>
      </c>
      <c r="U37" s="4" t="str">
        <f t="shared" si="8"/>
        <v>1</v>
      </c>
    </row>
    <row r="38">
      <c r="A38" s="3" t="s">
        <v>89</v>
      </c>
      <c r="B38" s="3">
        <v>5.0</v>
      </c>
      <c r="C38" s="3" t="s">
        <v>141</v>
      </c>
      <c r="D38" s="3" t="s">
        <v>26</v>
      </c>
      <c r="E38" s="3" t="s">
        <v>141</v>
      </c>
      <c r="F38" s="3" t="s">
        <v>141</v>
      </c>
      <c r="G38" s="4" t="str">
        <f t="shared" si="1"/>
        <v>1</v>
      </c>
      <c r="H38" s="3" t="s">
        <v>141</v>
      </c>
      <c r="I38" s="4" t="str">
        <f t="shared" si="2"/>
        <v>1</v>
      </c>
      <c r="J38" s="3" t="s">
        <v>141</v>
      </c>
      <c r="K38" s="4" t="str">
        <f t="shared" si="3"/>
        <v>1</v>
      </c>
      <c r="L38" s="3" t="s">
        <v>141</v>
      </c>
      <c r="M38" s="4" t="str">
        <f t="shared" si="4"/>
        <v>1</v>
      </c>
      <c r="N38" s="3" t="s">
        <v>156</v>
      </c>
      <c r="O38" s="4" t="str">
        <f t="shared" si="5"/>
        <v>0</v>
      </c>
      <c r="P38" s="3" t="s">
        <v>156</v>
      </c>
      <c r="Q38" s="4" t="str">
        <f t="shared" si="6"/>
        <v>0</v>
      </c>
      <c r="R38" s="3" t="s">
        <v>141</v>
      </c>
      <c r="S38" s="4" t="str">
        <f t="shared" si="7"/>
        <v>1</v>
      </c>
      <c r="T38" s="3" t="s">
        <v>141</v>
      </c>
      <c r="U38" s="4" t="str">
        <f t="shared" si="8"/>
        <v>1</v>
      </c>
    </row>
    <row r="39">
      <c r="A39" s="3" t="s">
        <v>89</v>
      </c>
      <c r="B39" s="3">
        <v>6.0</v>
      </c>
      <c r="C39" s="3" t="s">
        <v>64</v>
      </c>
      <c r="D39" s="3" t="s">
        <v>95</v>
      </c>
      <c r="E39" s="3" t="s">
        <v>95</v>
      </c>
      <c r="F39" s="3" t="s">
        <v>95</v>
      </c>
      <c r="G39" s="4" t="str">
        <f t="shared" si="1"/>
        <v>1</v>
      </c>
      <c r="H39" s="3" t="s">
        <v>95</v>
      </c>
      <c r="I39" s="4" t="str">
        <f t="shared" si="2"/>
        <v>1</v>
      </c>
      <c r="J39" s="3" t="s">
        <v>95</v>
      </c>
      <c r="K39" s="4" t="str">
        <f t="shared" si="3"/>
        <v>1</v>
      </c>
      <c r="L39" s="3" t="s">
        <v>95</v>
      </c>
      <c r="M39" s="4" t="str">
        <f t="shared" si="4"/>
        <v>1</v>
      </c>
      <c r="N39" s="3" t="s">
        <v>95</v>
      </c>
      <c r="O39" s="4" t="str">
        <f t="shared" si="5"/>
        <v>1</v>
      </c>
      <c r="P39" s="3" t="s">
        <v>95</v>
      </c>
      <c r="Q39" s="4" t="str">
        <f t="shared" si="6"/>
        <v>1</v>
      </c>
      <c r="R39" s="3" t="s">
        <v>95</v>
      </c>
      <c r="S39" s="4" t="str">
        <f t="shared" si="7"/>
        <v>1</v>
      </c>
      <c r="T39" s="3" t="s">
        <v>25</v>
      </c>
      <c r="U39" s="4" t="str">
        <f t="shared" si="8"/>
        <v>0</v>
      </c>
    </row>
    <row r="40">
      <c r="A40" s="3" t="s">
        <v>89</v>
      </c>
      <c r="B40" s="3">
        <v>7.0</v>
      </c>
      <c r="C40" s="3" t="s">
        <v>111</v>
      </c>
      <c r="D40" s="3" t="s">
        <v>32</v>
      </c>
      <c r="E40" s="3" t="s">
        <v>32</v>
      </c>
      <c r="F40" s="3" t="s">
        <v>32</v>
      </c>
      <c r="G40" s="4" t="str">
        <f t="shared" si="1"/>
        <v>1</v>
      </c>
      <c r="H40" s="3" t="s">
        <v>32</v>
      </c>
      <c r="I40" s="4" t="str">
        <f t="shared" si="2"/>
        <v>1</v>
      </c>
      <c r="J40" s="3" t="s">
        <v>32</v>
      </c>
      <c r="K40" s="4" t="str">
        <f t="shared" si="3"/>
        <v>1</v>
      </c>
      <c r="L40" s="3" t="s">
        <v>32</v>
      </c>
      <c r="M40" s="4" t="str">
        <f t="shared" si="4"/>
        <v>1</v>
      </c>
      <c r="N40" s="3" t="s">
        <v>102</v>
      </c>
      <c r="O40" s="4" t="str">
        <f t="shared" si="5"/>
        <v>0</v>
      </c>
      <c r="P40" s="3" t="s">
        <v>102</v>
      </c>
      <c r="Q40" s="4" t="str">
        <f t="shared" si="6"/>
        <v>0</v>
      </c>
      <c r="R40" s="3" t="s">
        <v>32</v>
      </c>
      <c r="S40" s="4" t="str">
        <f t="shared" si="7"/>
        <v>1</v>
      </c>
      <c r="T40" s="3" t="s">
        <v>32</v>
      </c>
      <c r="U40" s="4" t="str">
        <f t="shared" si="8"/>
        <v>1</v>
      </c>
    </row>
    <row r="41">
      <c r="A41" s="3" t="s">
        <v>89</v>
      </c>
      <c r="B41" s="3">
        <v>8.0</v>
      </c>
      <c r="C41" s="3" t="s">
        <v>28</v>
      </c>
      <c r="D41" s="3" t="s">
        <v>158</v>
      </c>
      <c r="E41" s="3" t="s">
        <v>28</v>
      </c>
      <c r="F41" s="3" t="s">
        <v>158</v>
      </c>
      <c r="G41" s="4" t="str">
        <f t="shared" si="1"/>
        <v>0</v>
      </c>
      <c r="H41" s="3" t="s">
        <v>158</v>
      </c>
      <c r="I41" s="4" t="str">
        <f t="shared" si="2"/>
        <v>0</v>
      </c>
      <c r="J41" s="3" t="s">
        <v>73</v>
      </c>
      <c r="K41" s="4" t="str">
        <f t="shared" si="3"/>
        <v>0</v>
      </c>
      <c r="L41" s="3" t="s">
        <v>73</v>
      </c>
      <c r="M41" s="4" t="str">
        <f t="shared" si="4"/>
        <v>0</v>
      </c>
      <c r="N41" s="3" t="s">
        <v>73</v>
      </c>
      <c r="O41" s="4" t="str">
        <f t="shared" si="5"/>
        <v>0</v>
      </c>
      <c r="P41" s="3" t="s">
        <v>73</v>
      </c>
      <c r="Q41" s="4" t="str">
        <f t="shared" si="6"/>
        <v>0</v>
      </c>
      <c r="R41" s="3" t="s">
        <v>158</v>
      </c>
      <c r="S41" s="4" t="str">
        <f t="shared" si="7"/>
        <v>0</v>
      </c>
      <c r="T41" s="3" t="s">
        <v>158</v>
      </c>
      <c r="U41" s="4" t="str">
        <f t="shared" si="8"/>
        <v>0</v>
      </c>
    </row>
    <row r="42">
      <c r="A42" s="3" t="s">
        <v>89</v>
      </c>
      <c r="B42" s="3">
        <v>9.0</v>
      </c>
      <c r="C42" s="3" t="s">
        <v>36</v>
      </c>
      <c r="D42" s="3" t="s">
        <v>38</v>
      </c>
      <c r="E42" s="3" t="s">
        <v>36</v>
      </c>
      <c r="F42" s="3" t="s">
        <v>36</v>
      </c>
      <c r="G42" s="4" t="str">
        <f t="shared" si="1"/>
        <v>1</v>
      </c>
      <c r="H42" s="3" t="s">
        <v>36</v>
      </c>
      <c r="I42" s="4" t="str">
        <f t="shared" si="2"/>
        <v>1</v>
      </c>
      <c r="J42" s="3" t="s">
        <v>38</v>
      </c>
      <c r="K42" s="4" t="str">
        <f t="shared" si="3"/>
        <v>0</v>
      </c>
      <c r="L42" s="3" t="s">
        <v>38</v>
      </c>
      <c r="M42" s="4" t="str">
        <f t="shared" si="4"/>
        <v>0</v>
      </c>
      <c r="N42" s="3" t="s">
        <v>38</v>
      </c>
      <c r="O42" s="4" t="str">
        <f t="shared" si="5"/>
        <v>0</v>
      </c>
      <c r="P42" s="3" t="s">
        <v>132</v>
      </c>
      <c r="Q42" s="4" t="str">
        <f t="shared" si="6"/>
        <v>0</v>
      </c>
      <c r="R42" s="3" t="s">
        <v>36</v>
      </c>
      <c r="S42" s="4" t="str">
        <f t="shared" si="7"/>
        <v>1</v>
      </c>
      <c r="T42" s="3" t="s">
        <v>36</v>
      </c>
      <c r="U42" s="4" t="str">
        <f t="shared" si="8"/>
        <v>1</v>
      </c>
    </row>
    <row r="43">
      <c r="A43" s="3" t="s">
        <v>89</v>
      </c>
      <c r="B43" s="3">
        <v>10.0</v>
      </c>
      <c r="C43" s="3" t="s">
        <v>149</v>
      </c>
      <c r="D43" s="3" t="s">
        <v>55</v>
      </c>
      <c r="E43" s="3" t="s">
        <v>55</v>
      </c>
      <c r="F43" s="3" t="s">
        <v>55</v>
      </c>
      <c r="G43" s="4" t="str">
        <f t="shared" si="1"/>
        <v>1</v>
      </c>
      <c r="H43" s="3" t="s">
        <v>55</v>
      </c>
      <c r="I43" s="4" t="str">
        <f t="shared" si="2"/>
        <v>1</v>
      </c>
      <c r="J43" s="3" t="s">
        <v>55</v>
      </c>
      <c r="K43" s="4" t="str">
        <f t="shared" si="3"/>
        <v>1</v>
      </c>
      <c r="L43" s="3" t="s">
        <v>149</v>
      </c>
      <c r="M43" s="4" t="str">
        <f t="shared" si="4"/>
        <v>0</v>
      </c>
      <c r="N43" s="3" t="s">
        <v>55</v>
      </c>
      <c r="O43" s="4" t="str">
        <f t="shared" si="5"/>
        <v>1</v>
      </c>
      <c r="P43" s="3" t="s">
        <v>55</v>
      </c>
      <c r="Q43" s="4" t="str">
        <f t="shared" si="6"/>
        <v>1</v>
      </c>
      <c r="R43" s="3" t="s">
        <v>149</v>
      </c>
      <c r="S43" s="4" t="str">
        <f t="shared" si="7"/>
        <v>0</v>
      </c>
      <c r="T43" s="3" t="s">
        <v>55</v>
      </c>
      <c r="U43" s="4" t="str">
        <f t="shared" si="8"/>
        <v>1</v>
      </c>
    </row>
    <row r="44">
      <c r="A44" s="3" t="s">
        <v>89</v>
      </c>
      <c r="B44" s="3">
        <v>11.0</v>
      </c>
      <c r="C44" s="3" t="s">
        <v>127</v>
      </c>
      <c r="D44" s="3" t="s">
        <v>83</v>
      </c>
      <c r="E44" s="3" t="s">
        <v>127</v>
      </c>
      <c r="F44" s="3" t="s">
        <v>83</v>
      </c>
      <c r="G44" s="4" t="str">
        <f t="shared" si="1"/>
        <v>0</v>
      </c>
      <c r="H44" s="3" t="s">
        <v>83</v>
      </c>
      <c r="I44" s="4" t="str">
        <f t="shared" si="2"/>
        <v>0</v>
      </c>
      <c r="J44" s="3" t="s">
        <v>83</v>
      </c>
      <c r="K44" s="4" t="str">
        <f t="shared" si="3"/>
        <v>0</v>
      </c>
      <c r="L44" s="3" t="s">
        <v>83</v>
      </c>
      <c r="M44" s="4" t="str">
        <f t="shared" si="4"/>
        <v>0</v>
      </c>
      <c r="N44" s="3" t="s">
        <v>83</v>
      </c>
      <c r="O44" s="4" t="str">
        <f t="shared" si="5"/>
        <v>0</v>
      </c>
      <c r="P44" s="3" t="s">
        <v>83</v>
      </c>
      <c r="Q44" s="4" t="str">
        <f t="shared" si="6"/>
        <v>0</v>
      </c>
      <c r="R44" s="3" t="s">
        <v>83</v>
      </c>
      <c r="S44" s="4" t="str">
        <f t="shared" si="7"/>
        <v>0</v>
      </c>
      <c r="T44" s="3" t="s">
        <v>83</v>
      </c>
      <c r="U44" s="4" t="str">
        <f t="shared" si="8"/>
        <v>0</v>
      </c>
    </row>
    <row r="45">
      <c r="A45" s="3" t="s">
        <v>89</v>
      </c>
      <c r="B45" s="3">
        <v>12.0</v>
      </c>
      <c r="C45" s="3" t="s">
        <v>43</v>
      </c>
      <c r="D45" s="3" t="s">
        <v>30</v>
      </c>
      <c r="E45" s="3" t="s">
        <v>30</v>
      </c>
      <c r="F45" s="3" t="s">
        <v>30</v>
      </c>
      <c r="G45" s="4" t="str">
        <f t="shared" si="1"/>
        <v>1</v>
      </c>
      <c r="H45" s="3" t="s">
        <v>30</v>
      </c>
      <c r="I45" s="4" t="str">
        <f t="shared" si="2"/>
        <v>1</v>
      </c>
      <c r="J45" s="3" t="s">
        <v>30</v>
      </c>
      <c r="K45" s="4" t="str">
        <f t="shared" si="3"/>
        <v>1</v>
      </c>
      <c r="L45" s="3" t="s">
        <v>30</v>
      </c>
      <c r="M45" s="4" t="str">
        <f t="shared" si="4"/>
        <v>1</v>
      </c>
      <c r="N45" s="3" t="s">
        <v>30</v>
      </c>
      <c r="O45" s="4" t="str">
        <f t="shared" si="5"/>
        <v>1</v>
      </c>
      <c r="P45" s="3" t="s">
        <v>30</v>
      </c>
      <c r="Q45" s="4" t="str">
        <f t="shared" si="6"/>
        <v>1</v>
      </c>
      <c r="R45" s="3" t="s">
        <v>30</v>
      </c>
      <c r="S45" s="4" t="str">
        <f t="shared" si="7"/>
        <v>1</v>
      </c>
      <c r="T45" s="3" t="s">
        <v>30</v>
      </c>
      <c r="U45" s="4" t="str">
        <f t="shared" si="8"/>
        <v>1</v>
      </c>
    </row>
    <row r="46">
      <c r="A46" s="3" t="s">
        <v>89</v>
      </c>
      <c r="B46" s="3">
        <v>13.0</v>
      </c>
      <c r="C46" s="3" t="s">
        <v>59</v>
      </c>
      <c r="D46" s="3" t="s">
        <v>22</v>
      </c>
      <c r="E46" s="3" t="s">
        <v>59</v>
      </c>
      <c r="F46" s="3" t="s">
        <v>59</v>
      </c>
      <c r="G46" s="4" t="str">
        <f t="shared" si="1"/>
        <v>1</v>
      </c>
      <c r="H46" s="3" t="s">
        <v>22</v>
      </c>
      <c r="I46" s="4" t="str">
        <f t="shared" si="2"/>
        <v>0</v>
      </c>
      <c r="J46" s="3" t="s">
        <v>59</v>
      </c>
      <c r="K46" s="4" t="str">
        <f t="shared" si="3"/>
        <v>1</v>
      </c>
      <c r="L46" s="3" t="s">
        <v>59</v>
      </c>
      <c r="M46" s="4" t="str">
        <f t="shared" si="4"/>
        <v>1</v>
      </c>
      <c r="N46" s="3" t="s">
        <v>166</v>
      </c>
      <c r="O46" s="4" t="str">
        <f t="shared" si="5"/>
        <v>0</v>
      </c>
      <c r="P46" s="3" t="s">
        <v>59</v>
      </c>
      <c r="Q46" s="4" t="str">
        <f t="shared" si="6"/>
        <v>1</v>
      </c>
      <c r="R46" s="3" t="s">
        <v>59</v>
      </c>
      <c r="S46" s="4" t="str">
        <f t="shared" si="7"/>
        <v>1</v>
      </c>
      <c r="T46" s="3" t="s">
        <v>59</v>
      </c>
      <c r="U46" s="4" t="str">
        <f t="shared" si="8"/>
        <v>1</v>
      </c>
    </row>
    <row r="47">
      <c r="A47" s="3" t="s">
        <v>89</v>
      </c>
      <c r="B47" s="3">
        <v>14.0</v>
      </c>
      <c r="C47" s="3" t="s">
        <v>146</v>
      </c>
      <c r="D47" s="3" t="s">
        <v>49</v>
      </c>
      <c r="E47" s="3" t="s">
        <v>49</v>
      </c>
      <c r="F47" s="3" t="s">
        <v>49</v>
      </c>
      <c r="G47" s="4" t="str">
        <f t="shared" si="1"/>
        <v>1</v>
      </c>
      <c r="H47" s="3" t="s">
        <v>133</v>
      </c>
      <c r="I47" s="4" t="str">
        <f t="shared" si="2"/>
        <v>0</v>
      </c>
      <c r="J47" s="3" t="s">
        <v>49</v>
      </c>
      <c r="K47" s="4" t="str">
        <f t="shared" si="3"/>
        <v>1</v>
      </c>
      <c r="L47" s="3" t="s">
        <v>49</v>
      </c>
      <c r="M47" s="4" t="str">
        <f t="shared" si="4"/>
        <v>1</v>
      </c>
      <c r="N47" s="3" t="s">
        <v>49</v>
      </c>
      <c r="O47" s="4" t="str">
        <f t="shared" si="5"/>
        <v>1</v>
      </c>
      <c r="P47" s="3" t="s">
        <v>49</v>
      </c>
      <c r="Q47" s="4" t="str">
        <f t="shared" si="6"/>
        <v>1</v>
      </c>
      <c r="R47" s="3" t="s">
        <v>49</v>
      </c>
      <c r="S47" s="4" t="str">
        <f t="shared" si="7"/>
        <v>1</v>
      </c>
      <c r="T47" s="3" t="s">
        <v>133</v>
      </c>
      <c r="U47" s="4" t="str">
        <f t="shared" si="8"/>
        <v>0</v>
      </c>
    </row>
    <row r="48">
      <c r="A48" s="3" t="s">
        <v>89</v>
      </c>
      <c r="B48" s="3">
        <v>15.0</v>
      </c>
      <c r="C48" s="3" t="s">
        <v>61</v>
      </c>
      <c r="D48" s="3" t="s">
        <v>53</v>
      </c>
      <c r="E48" s="3" t="s">
        <v>53</v>
      </c>
      <c r="F48" s="3" t="s">
        <v>53</v>
      </c>
      <c r="G48" s="4" t="str">
        <f t="shared" si="1"/>
        <v>1</v>
      </c>
      <c r="H48" s="3" t="s">
        <v>63</v>
      </c>
      <c r="I48" s="4" t="str">
        <f t="shared" si="2"/>
        <v>0</v>
      </c>
      <c r="J48" s="3" t="s">
        <v>53</v>
      </c>
      <c r="K48" s="4" t="str">
        <f t="shared" si="3"/>
        <v>1</v>
      </c>
      <c r="L48" s="3" t="s">
        <v>53</v>
      </c>
      <c r="M48" s="4" t="str">
        <f t="shared" si="4"/>
        <v>1</v>
      </c>
      <c r="N48" s="3" t="s">
        <v>53</v>
      </c>
      <c r="O48" s="4" t="str">
        <f t="shared" si="5"/>
        <v>1</v>
      </c>
      <c r="P48" s="3" t="s">
        <v>53</v>
      </c>
      <c r="Q48" s="4" t="str">
        <f t="shared" si="6"/>
        <v>1</v>
      </c>
      <c r="R48" s="3" t="s">
        <v>53</v>
      </c>
      <c r="S48" s="4" t="str">
        <f t="shared" si="7"/>
        <v>1</v>
      </c>
      <c r="T48" s="3" t="s">
        <v>53</v>
      </c>
      <c r="U48" s="4" t="str">
        <f t="shared" si="8"/>
        <v>1</v>
      </c>
    </row>
    <row r="49">
      <c r="A49" s="3" t="s">
        <v>89</v>
      </c>
      <c r="B49" s="3">
        <v>16.0</v>
      </c>
      <c r="C49" s="3" t="s">
        <v>45</v>
      </c>
      <c r="D49" s="3" t="s">
        <v>66</v>
      </c>
      <c r="E49" s="3" t="s">
        <v>66</v>
      </c>
      <c r="F49" s="3" t="s">
        <v>66</v>
      </c>
      <c r="G49" s="4" t="str">
        <f t="shared" si="1"/>
        <v>1</v>
      </c>
      <c r="H49" s="3" t="s">
        <v>66</v>
      </c>
      <c r="I49" s="4" t="str">
        <f t="shared" si="2"/>
        <v>1</v>
      </c>
      <c r="J49" s="3" t="s">
        <v>66</v>
      </c>
      <c r="K49" s="4" t="str">
        <f t="shared" si="3"/>
        <v>1</v>
      </c>
      <c r="L49" s="3" t="s">
        <v>66</v>
      </c>
      <c r="M49" s="4" t="str">
        <f t="shared" si="4"/>
        <v>1</v>
      </c>
      <c r="N49" s="3" t="s">
        <v>66</v>
      </c>
      <c r="O49" s="4" t="str">
        <f t="shared" si="5"/>
        <v>1</v>
      </c>
      <c r="P49" s="3" t="s">
        <v>66</v>
      </c>
      <c r="Q49" s="4" t="str">
        <f t="shared" si="6"/>
        <v>1</v>
      </c>
      <c r="R49" s="3" t="s">
        <v>66</v>
      </c>
      <c r="S49" s="4" t="str">
        <f t="shared" si="7"/>
        <v>1</v>
      </c>
      <c r="T49" s="3" t="s">
        <v>66</v>
      </c>
      <c r="U49" s="4" t="str">
        <f t="shared" si="8"/>
        <v>1</v>
      </c>
    </row>
    <row r="50">
      <c r="A50" s="3" t="s">
        <v>90</v>
      </c>
      <c r="B50" s="3">
        <v>1.0</v>
      </c>
      <c r="C50" s="3" t="s">
        <v>87</v>
      </c>
      <c r="D50" s="3" t="s">
        <v>65</v>
      </c>
      <c r="E50" s="3" t="s">
        <v>87</v>
      </c>
      <c r="F50" s="3" t="s">
        <v>87</v>
      </c>
      <c r="G50" s="4" t="str">
        <f t="shared" si="1"/>
        <v>1</v>
      </c>
      <c r="H50" s="3" t="s">
        <v>87</v>
      </c>
      <c r="I50" s="4" t="str">
        <f t="shared" si="2"/>
        <v>1</v>
      </c>
      <c r="J50" s="3" t="s">
        <v>87</v>
      </c>
      <c r="K50" s="4" t="str">
        <f t="shared" si="3"/>
        <v>1</v>
      </c>
      <c r="L50" s="3" t="s">
        <v>116</v>
      </c>
      <c r="M50" s="4" t="str">
        <f t="shared" si="4"/>
        <v>0</v>
      </c>
      <c r="N50" s="3" t="s">
        <v>87</v>
      </c>
      <c r="O50" s="4" t="str">
        <f t="shared" si="5"/>
        <v>1</v>
      </c>
      <c r="P50" s="3" t="s">
        <v>116</v>
      </c>
      <c r="Q50" s="4" t="str">
        <f t="shared" si="6"/>
        <v>0</v>
      </c>
      <c r="R50" s="3" t="s">
        <v>87</v>
      </c>
      <c r="S50" s="4" t="str">
        <f t="shared" si="7"/>
        <v>1</v>
      </c>
      <c r="T50" s="3" t="s">
        <v>87</v>
      </c>
      <c r="U50" s="4" t="str">
        <f t="shared" si="8"/>
        <v>1</v>
      </c>
    </row>
    <row r="51">
      <c r="A51" s="3" t="s">
        <v>90</v>
      </c>
      <c r="B51" s="3">
        <v>2.0</v>
      </c>
      <c r="C51" s="3" t="s">
        <v>153</v>
      </c>
      <c r="D51" s="3" t="s">
        <v>34</v>
      </c>
      <c r="E51" s="3" t="s">
        <v>34</v>
      </c>
      <c r="F51" s="3" t="s">
        <v>82</v>
      </c>
      <c r="G51" s="4" t="str">
        <f t="shared" si="1"/>
        <v>0</v>
      </c>
      <c r="H51" s="3" t="s">
        <v>34</v>
      </c>
      <c r="I51" s="4" t="str">
        <f t="shared" si="2"/>
        <v>1</v>
      </c>
      <c r="J51" s="3" t="s">
        <v>34</v>
      </c>
      <c r="K51" s="4" t="str">
        <f t="shared" si="3"/>
        <v>1</v>
      </c>
      <c r="L51" s="3" t="s">
        <v>82</v>
      </c>
      <c r="M51" s="4" t="str">
        <f t="shared" si="4"/>
        <v>0</v>
      </c>
      <c r="N51" s="3" t="s">
        <v>153</v>
      </c>
      <c r="O51" s="4" t="str">
        <f t="shared" si="5"/>
        <v>0</v>
      </c>
      <c r="P51" s="3" t="s">
        <v>153</v>
      </c>
      <c r="Q51" s="4" t="str">
        <f t="shared" si="6"/>
        <v>0</v>
      </c>
      <c r="R51" s="3" t="s">
        <v>34</v>
      </c>
      <c r="S51" s="4" t="str">
        <f t="shared" si="7"/>
        <v>1</v>
      </c>
      <c r="T51" s="3" t="s">
        <v>34</v>
      </c>
      <c r="U51" s="4" t="str">
        <f t="shared" si="8"/>
        <v>1</v>
      </c>
    </row>
    <row r="52">
      <c r="A52" s="3" t="s">
        <v>90</v>
      </c>
      <c r="B52" s="3">
        <v>3.0</v>
      </c>
      <c r="C52" s="3" t="s">
        <v>141</v>
      </c>
      <c r="D52" s="3" t="s">
        <v>95</v>
      </c>
      <c r="E52" s="3" t="s">
        <v>141</v>
      </c>
      <c r="F52" s="3" t="s">
        <v>141</v>
      </c>
      <c r="G52" s="4" t="str">
        <f t="shared" si="1"/>
        <v>1</v>
      </c>
      <c r="H52" s="3" t="s">
        <v>141</v>
      </c>
      <c r="I52" s="4" t="str">
        <f t="shared" si="2"/>
        <v>1</v>
      </c>
      <c r="J52" s="3" t="s">
        <v>141</v>
      </c>
      <c r="K52" s="4" t="str">
        <f t="shared" si="3"/>
        <v>1</v>
      </c>
      <c r="L52" s="3" t="s">
        <v>141</v>
      </c>
      <c r="M52" s="4" t="str">
        <f t="shared" si="4"/>
        <v>1</v>
      </c>
      <c r="N52" s="3" t="s">
        <v>156</v>
      </c>
      <c r="O52" s="4" t="str">
        <f t="shared" si="5"/>
        <v>0</v>
      </c>
      <c r="P52" s="3" t="s">
        <v>156</v>
      </c>
      <c r="Q52" s="4" t="str">
        <f t="shared" si="6"/>
        <v>0</v>
      </c>
      <c r="R52" s="3" t="s">
        <v>141</v>
      </c>
      <c r="S52" s="4" t="str">
        <f t="shared" si="7"/>
        <v>1</v>
      </c>
      <c r="T52" s="3" t="s">
        <v>141</v>
      </c>
      <c r="U52" s="4" t="str">
        <f t="shared" si="8"/>
        <v>1</v>
      </c>
    </row>
    <row r="53">
      <c r="A53" s="3" t="s">
        <v>90</v>
      </c>
      <c r="B53" s="3">
        <v>4.0</v>
      </c>
      <c r="C53" s="3" t="s">
        <v>32</v>
      </c>
      <c r="D53" s="3" t="s">
        <v>28</v>
      </c>
      <c r="E53" s="3" t="s">
        <v>32</v>
      </c>
      <c r="F53" s="3" t="s">
        <v>32</v>
      </c>
      <c r="G53" s="4" t="str">
        <f t="shared" si="1"/>
        <v>1</v>
      </c>
      <c r="H53" s="3" t="s">
        <v>32</v>
      </c>
      <c r="I53" s="4" t="str">
        <f t="shared" si="2"/>
        <v>1</v>
      </c>
      <c r="J53" s="3" t="s">
        <v>73</v>
      </c>
      <c r="K53" s="4" t="str">
        <f t="shared" si="3"/>
        <v>0</v>
      </c>
      <c r="L53" s="3" t="s">
        <v>73</v>
      </c>
      <c r="M53" s="4" t="str">
        <f t="shared" si="4"/>
        <v>0</v>
      </c>
      <c r="N53" s="3" t="s">
        <v>73</v>
      </c>
      <c r="O53" s="4" t="str">
        <f t="shared" si="5"/>
        <v>0</v>
      </c>
      <c r="P53" s="3" t="s">
        <v>73</v>
      </c>
      <c r="Q53" s="4" t="str">
        <f t="shared" si="6"/>
        <v>0</v>
      </c>
      <c r="R53" s="3" t="s">
        <v>158</v>
      </c>
      <c r="S53" s="4" t="str">
        <f t="shared" si="7"/>
        <v>0</v>
      </c>
      <c r="T53" s="3" t="s">
        <v>158</v>
      </c>
      <c r="U53" s="4" t="str">
        <f t="shared" si="8"/>
        <v>0</v>
      </c>
    </row>
    <row r="54">
      <c r="A54" s="3" t="s">
        <v>90</v>
      </c>
      <c r="B54" s="3">
        <v>5.0</v>
      </c>
      <c r="C54" s="3" t="s">
        <v>36</v>
      </c>
      <c r="D54" s="3" t="s">
        <v>55</v>
      </c>
      <c r="E54" s="3" t="s">
        <v>36</v>
      </c>
      <c r="F54" s="3" t="s">
        <v>36</v>
      </c>
      <c r="G54" s="4" t="str">
        <f t="shared" si="1"/>
        <v>1</v>
      </c>
      <c r="H54" s="3" t="s">
        <v>36</v>
      </c>
      <c r="I54" s="4" t="str">
        <f t="shared" si="2"/>
        <v>1</v>
      </c>
      <c r="J54" s="3" t="s">
        <v>55</v>
      </c>
      <c r="K54" s="4" t="str">
        <f t="shared" si="3"/>
        <v>0</v>
      </c>
      <c r="L54" s="3" t="s">
        <v>149</v>
      </c>
      <c r="M54" s="4" t="str">
        <f t="shared" si="4"/>
        <v>0</v>
      </c>
      <c r="N54" s="3" t="s">
        <v>55</v>
      </c>
      <c r="O54" s="4" t="str">
        <f t="shared" si="5"/>
        <v>0</v>
      </c>
      <c r="P54" s="3" t="s">
        <v>55</v>
      </c>
      <c r="Q54" s="4" t="str">
        <f t="shared" si="6"/>
        <v>0</v>
      </c>
      <c r="R54" s="3" t="s">
        <v>36</v>
      </c>
      <c r="S54" s="4" t="str">
        <f t="shared" si="7"/>
        <v>1</v>
      </c>
      <c r="T54" s="3" t="s">
        <v>36</v>
      </c>
      <c r="U54" s="4" t="str">
        <f t="shared" si="8"/>
        <v>1</v>
      </c>
    </row>
    <row r="55">
      <c r="A55" s="3" t="s">
        <v>90</v>
      </c>
      <c r="B55" s="3">
        <v>6.0</v>
      </c>
      <c r="C55" s="3" t="s">
        <v>127</v>
      </c>
      <c r="D55" s="3" t="s">
        <v>30</v>
      </c>
      <c r="E55" s="3" t="s">
        <v>30</v>
      </c>
      <c r="F55" s="3" t="s">
        <v>30</v>
      </c>
      <c r="G55" s="4" t="str">
        <f t="shared" si="1"/>
        <v>1</v>
      </c>
      <c r="H55" s="3" t="s">
        <v>30</v>
      </c>
      <c r="I55" s="4" t="str">
        <f t="shared" si="2"/>
        <v>1</v>
      </c>
      <c r="J55" s="3" t="s">
        <v>30</v>
      </c>
      <c r="K55" s="4" t="str">
        <f t="shared" si="3"/>
        <v>1</v>
      </c>
      <c r="L55" s="3" t="s">
        <v>30</v>
      </c>
      <c r="M55" s="4" t="str">
        <f t="shared" si="4"/>
        <v>1</v>
      </c>
      <c r="N55" s="3" t="s">
        <v>30</v>
      </c>
      <c r="O55" s="4" t="str">
        <f t="shared" si="5"/>
        <v>1</v>
      </c>
      <c r="P55" s="3" t="s">
        <v>30</v>
      </c>
      <c r="Q55" s="4" t="str">
        <f t="shared" si="6"/>
        <v>1</v>
      </c>
      <c r="R55" s="3" t="s">
        <v>30</v>
      </c>
      <c r="S55" s="4" t="str">
        <f t="shared" si="7"/>
        <v>1</v>
      </c>
      <c r="T55" s="3" t="s">
        <v>30</v>
      </c>
      <c r="U55" s="4" t="str">
        <f t="shared" si="8"/>
        <v>1</v>
      </c>
    </row>
    <row r="56">
      <c r="A56" s="3" t="s">
        <v>90</v>
      </c>
      <c r="B56" s="3">
        <v>7.0</v>
      </c>
      <c r="C56" s="3" t="s">
        <v>59</v>
      </c>
      <c r="D56" s="3" t="s">
        <v>49</v>
      </c>
      <c r="E56" s="3" t="s">
        <v>59</v>
      </c>
      <c r="F56" s="3" t="s">
        <v>59</v>
      </c>
      <c r="G56" s="4" t="str">
        <f t="shared" si="1"/>
        <v>1</v>
      </c>
      <c r="H56" s="3" t="s">
        <v>22</v>
      </c>
      <c r="I56" s="4" t="str">
        <f t="shared" si="2"/>
        <v>0</v>
      </c>
      <c r="J56" s="3" t="s">
        <v>49</v>
      </c>
      <c r="K56" s="4" t="str">
        <f t="shared" si="3"/>
        <v>0</v>
      </c>
      <c r="L56" s="3" t="s">
        <v>49</v>
      </c>
      <c r="M56" s="4" t="str">
        <f t="shared" si="4"/>
        <v>0</v>
      </c>
      <c r="N56" s="3" t="s">
        <v>49</v>
      </c>
      <c r="O56" s="4" t="str">
        <f t="shared" si="5"/>
        <v>0</v>
      </c>
      <c r="P56" s="3" t="s">
        <v>49</v>
      </c>
      <c r="Q56" s="4" t="str">
        <f t="shared" si="6"/>
        <v>0</v>
      </c>
      <c r="R56" s="3" t="s">
        <v>59</v>
      </c>
      <c r="S56" s="4" t="str">
        <f t="shared" si="7"/>
        <v>1</v>
      </c>
      <c r="T56" s="3" t="s">
        <v>59</v>
      </c>
      <c r="U56" s="4" t="str">
        <f t="shared" si="8"/>
        <v>1</v>
      </c>
    </row>
    <row r="57">
      <c r="A57" s="3" t="s">
        <v>90</v>
      </c>
      <c r="B57" s="3">
        <v>8.0</v>
      </c>
      <c r="C57" s="3" t="s">
        <v>53</v>
      </c>
      <c r="D57" s="3" t="s">
        <v>66</v>
      </c>
      <c r="E57" s="3" t="s">
        <v>66</v>
      </c>
      <c r="F57" s="3" t="s">
        <v>66</v>
      </c>
      <c r="G57" s="4" t="str">
        <f t="shared" si="1"/>
        <v>1</v>
      </c>
      <c r="H57" s="3" t="s">
        <v>66</v>
      </c>
      <c r="I57" s="4" t="str">
        <f t="shared" si="2"/>
        <v>1</v>
      </c>
      <c r="J57" s="3" t="s">
        <v>53</v>
      </c>
      <c r="K57" s="4" t="str">
        <f t="shared" si="3"/>
        <v>0</v>
      </c>
      <c r="L57" s="3" t="s">
        <v>66</v>
      </c>
      <c r="M57" s="4" t="str">
        <f t="shared" si="4"/>
        <v>1</v>
      </c>
      <c r="N57" s="3" t="s">
        <v>53</v>
      </c>
      <c r="O57" s="4" t="str">
        <f t="shared" si="5"/>
        <v>0</v>
      </c>
      <c r="P57" s="3" t="s">
        <v>66</v>
      </c>
      <c r="Q57" s="4" t="str">
        <f t="shared" si="6"/>
        <v>1</v>
      </c>
      <c r="R57" s="3" t="s">
        <v>66</v>
      </c>
      <c r="S57" s="4" t="str">
        <f t="shared" si="7"/>
        <v>1</v>
      </c>
      <c r="T57" s="3" t="s">
        <v>53</v>
      </c>
      <c r="U57" s="4" t="str">
        <f t="shared" si="8"/>
        <v>0</v>
      </c>
    </row>
    <row r="58">
      <c r="A58" s="3" t="s">
        <v>91</v>
      </c>
      <c r="B58" s="3">
        <v>1.0</v>
      </c>
      <c r="C58" s="3" t="s">
        <v>87</v>
      </c>
      <c r="D58" s="3" t="s">
        <v>34</v>
      </c>
      <c r="E58" s="3" t="s">
        <v>87</v>
      </c>
      <c r="F58" s="3" t="s">
        <v>87</v>
      </c>
      <c r="G58" s="4" t="str">
        <f t="shared" si="1"/>
        <v>1</v>
      </c>
      <c r="H58" s="3" t="s">
        <v>87</v>
      </c>
      <c r="I58" s="4" t="str">
        <f t="shared" si="2"/>
        <v>1</v>
      </c>
      <c r="J58" s="3" t="s">
        <v>87</v>
      </c>
      <c r="K58" s="4" t="str">
        <f t="shared" si="3"/>
        <v>1</v>
      </c>
      <c r="L58" s="3" t="s">
        <v>116</v>
      </c>
      <c r="M58" s="4" t="str">
        <f t="shared" si="4"/>
        <v>0</v>
      </c>
      <c r="N58" s="3" t="s">
        <v>87</v>
      </c>
      <c r="O58" s="4" t="str">
        <f t="shared" si="5"/>
        <v>1</v>
      </c>
      <c r="P58" s="3" t="s">
        <v>116</v>
      </c>
      <c r="Q58" s="4" t="str">
        <f t="shared" si="6"/>
        <v>0</v>
      </c>
      <c r="R58" s="3" t="s">
        <v>87</v>
      </c>
      <c r="S58" s="4" t="str">
        <f t="shared" si="7"/>
        <v>1</v>
      </c>
      <c r="T58" s="3" t="s">
        <v>87</v>
      </c>
      <c r="U58" s="4" t="str">
        <f t="shared" si="8"/>
        <v>1</v>
      </c>
    </row>
    <row r="59">
      <c r="A59" s="3" t="s">
        <v>91</v>
      </c>
      <c r="B59" s="3">
        <v>2.0</v>
      </c>
      <c r="C59" s="3" t="s">
        <v>141</v>
      </c>
      <c r="D59" s="3" t="s">
        <v>32</v>
      </c>
      <c r="E59" s="3" t="s">
        <v>141</v>
      </c>
      <c r="F59" s="3" t="s">
        <v>141</v>
      </c>
      <c r="G59" s="4" t="str">
        <f t="shared" si="1"/>
        <v>1</v>
      </c>
      <c r="H59" s="3" t="s">
        <v>32</v>
      </c>
      <c r="I59" s="4" t="str">
        <f t="shared" si="2"/>
        <v>0</v>
      </c>
      <c r="J59" s="3" t="s">
        <v>73</v>
      </c>
      <c r="K59" s="4" t="str">
        <f t="shared" si="3"/>
        <v>0</v>
      </c>
      <c r="L59" s="3" t="s">
        <v>73</v>
      </c>
      <c r="M59" s="4" t="str">
        <f t="shared" si="4"/>
        <v>0</v>
      </c>
      <c r="N59" s="3" t="s">
        <v>156</v>
      </c>
      <c r="O59" s="4" t="str">
        <f t="shared" si="5"/>
        <v>0</v>
      </c>
      <c r="P59" s="3" t="s">
        <v>73</v>
      </c>
      <c r="Q59" s="4" t="str">
        <f t="shared" si="6"/>
        <v>0</v>
      </c>
      <c r="R59" s="3" t="s">
        <v>141</v>
      </c>
      <c r="S59" s="4" t="str">
        <f t="shared" si="7"/>
        <v>1</v>
      </c>
      <c r="T59" s="3" t="s">
        <v>141</v>
      </c>
      <c r="U59" s="4" t="str">
        <f t="shared" si="8"/>
        <v>1</v>
      </c>
    </row>
    <row r="60">
      <c r="A60" s="3" t="s">
        <v>91</v>
      </c>
      <c r="B60" s="3">
        <v>3.0</v>
      </c>
      <c r="C60" s="3" t="s">
        <v>36</v>
      </c>
      <c r="D60" s="3" t="s">
        <v>30</v>
      </c>
      <c r="E60" s="3" t="s">
        <v>36</v>
      </c>
      <c r="F60" s="3" t="s">
        <v>36</v>
      </c>
      <c r="G60" s="4" t="str">
        <f t="shared" si="1"/>
        <v>1</v>
      </c>
      <c r="H60" s="3" t="s">
        <v>30</v>
      </c>
      <c r="I60" s="4" t="str">
        <f t="shared" si="2"/>
        <v>0</v>
      </c>
      <c r="J60" s="3" t="s">
        <v>30</v>
      </c>
      <c r="K60" s="4" t="str">
        <f t="shared" si="3"/>
        <v>0</v>
      </c>
      <c r="L60" s="3" t="s">
        <v>30</v>
      </c>
      <c r="M60" s="4" t="str">
        <f t="shared" si="4"/>
        <v>0</v>
      </c>
      <c r="N60" s="3" t="s">
        <v>30</v>
      </c>
      <c r="O60" s="4" t="str">
        <f t="shared" si="5"/>
        <v>0</v>
      </c>
      <c r="P60" s="3" t="s">
        <v>55</v>
      </c>
      <c r="Q60" s="4" t="str">
        <f t="shared" si="6"/>
        <v>0</v>
      </c>
      <c r="R60" s="3" t="s">
        <v>30</v>
      </c>
      <c r="S60" s="4" t="str">
        <f t="shared" si="7"/>
        <v>0</v>
      </c>
      <c r="T60" s="3" t="s">
        <v>36</v>
      </c>
      <c r="U60" s="4" t="str">
        <f t="shared" si="8"/>
        <v>1</v>
      </c>
    </row>
    <row r="61">
      <c r="A61" s="3" t="s">
        <v>91</v>
      </c>
      <c r="B61" s="3">
        <v>4.0</v>
      </c>
      <c r="C61" s="3" t="s">
        <v>59</v>
      </c>
      <c r="D61" s="3" t="s">
        <v>66</v>
      </c>
      <c r="E61" s="3" t="s">
        <v>59</v>
      </c>
      <c r="F61" s="3" t="s">
        <v>59</v>
      </c>
      <c r="G61" s="4" t="str">
        <f t="shared" si="1"/>
        <v>1</v>
      </c>
      <c r="H61" s="3" t="s">
        <v>22</v>
      </c>
      <c r="I61" s="4" t="str">
        <f t="shared" si="2"/>
        <v>0</v>
      </c>
      <c r="J61" s="3" t="s">
        <v>49</v>
      </c>
      <c r="K61" s="4" t="str">
        <f t="shared" si="3"/>
        <v>0</v>
      </c>
      <c r="L61" s="3" t="s">
        <v>49</v>
      </c>
      <c r="M61" s="4" t="str">
        <f t="shared" si="4"/>
        <v>0</v>
      </c>
      <c r="N61" s="3" t="s">
        <v>53</v>
      </c>
      <c r="O61" s="4" t="str">
        <f t="shared" si="5"/>
        <v>0</v>
      </c>
      <c r="P61" s="3" t="s">
        <v>66</v>
      </c>
      <c r="Q61" s="4" t="str">
        <f t="shared" si="6"/>
        <v>0</v>
      </c>
      <c r="R61" s="3" t="s">
        <v>59</v>
      </c>
      <c r="S61" s="4" t="str">
        <f t="shared" si="7"/>
        <v>1</v>
      </c>
      <c r="T61" s="3" t="s">
        <v>59</v>
      </c>
      <c r="U61" s="4" t="str">
        <f t="shared" si="8"/>
        <v>1</v>
      </c>
    </row>
    <row r="62">
      <c r="A62" s="3" t="s">
        <v>92</v>
      </c>
      <c r="B62" s="3">
        <v>1.0</v>
      </c>
      <c r="C62" s="3" t="s">
        <v>87</v>
      </c>
      <c r="D62" s="3" t="s">
        <v>141</v>
      </c>
      <c r="E62" s="3" t="s">
        <v>141</v>
      </c>
      <c r="F62" s="3" t="s">
        <v>87</v>
      </c>
      <c r="G62" s="4" t="str">
        <f t="shared" si="1"/>
        <v>0</v>
      </c>
      <c r="H62" s="3" t="s">
        <v>32</v>
      </c>
      <c r="I62" s="4" t="str">
        <f t="shared" si="2"/>
        <v>0</v>
      </c>
      <c r="J62" s="3" t="s">
        <v>87</v>
      </c>
      <c r="K62" s="4" t="str">
        <f t="shared" si="3"/>
        <v>0</v>
      </c>
      <c r="L62" s="3" t="s">
        <v>116</v>
      </c>
      <c r="M62" s="4" t="str">
        <f t="shared" si="4"/>
        <v>0</v>
      </c>
      <c r="N62" s="3" t="s">
        <v>87</v>
      </c>
      <c r="O62" s="4" t="str">
        <f t="shared" si="5"/>
        <v>0</v>
      </c>
      <c r="P62" s="3" t="s">
        <v>73</v>
      </c>
      <c r="Q62" s="4" t="str">
        <f t="shared" si="6"/>
        <v>0</v>
      </c>
      <c r="R62" s="3" t="s">
        <v>87</v>
      </c>
      <c r="S62" s="4" t="str">
        <f t="shared" si="7"/>
        <v>0</v>
      </c>
      <c r="T62" s="3" t="s">
        <v>141</v>
      </c>
      <c r="U62" s="4" t="str">
        <f t="shared" si="8"/>
        <v>1</v>
      </c>
    </row>
    <row r="63">
      <c r="A63" s="3" t="s">
        <v>92</v>
      </c>
      <c r="B63" s="3">
        <v>2.0</v>
      </c>
      <c r="C63" s="3" t="s">
        <v>36</v>
      </c>
      <c r="D63" s="3" t="s">
        <v>59</v>
      </c>
      <c r="E63" s="3" t="s">
        <v>59</v>
      </c>
      <c r="F63" s="3" t="s">
        <v>36</v>
      </c>
      <c r="G63" s="4" t="str">
        <f t="shared" si="1"/>
        <v>0</v>
      </c>
      <c r="H63" s="3" t="s">
        <v>22</v>
      </c>
      <c r="I63" s="4" t="str">
        <f t="shared" si="2"/>
        <v>0</v>
      </c>
      <c r="J63" s="3" t="s">
        <v>30</v>
      </c>
      <c r="K63" s="4" t="str">
        <f t="shared" si="3"/>
        <v>0</v>
      </c>
      <c r="L63" s="3" t="s">
        <v>49</v>
      </c>
      <c r="M63" s="4" t="str">
        <f t="shared" si="4"/>
        <v>0</v>
      </c>
      <c r="N63" s="3" t="s">
        <v>30</v>
      </c>
      <c r="O63" s="4" t="str">
        <f t="shared" si="5"/>
        <v>0</v>
      </c>
      <c r="P63" s="3" t="s">
        <v>66</v>
      </c>
      <c r="Q63" s="4" t="str">
        <f t="shared" si="6"/>
        <v>0</v>
      </c>
      <c r="R63" s="3" t="s">
        <v>59</v>
      </c>
      <c r="S63" s="4" t="str">
        <f t="shared" si="7"/>
        <v>1</v>
      </c>
      <c r="T63" s="3" t="s">
        <v>36</v>
      </c>
      <c r="U63" s="4" t="str">
        <f t="shared" si="8"/>
        <v>0</v>
      </c>
    </row>
    <row r="64">
      <c r="A64" s="3" t="s">
        <v>93</v>
      </c>
      <c r="B64" s="3">
        <v>1.0</v>
      </c>
      <c r="C64" s="3" t="s">
        <v>141</v>
      </c>
      <c r="D64" s="3" t="s">
        <v>59</v>
      </c>
      <c r="E64" s="3" t="s">
        <v>141</v>
      </c>
      <c r="F64" s="3" t="s">
        <v>36</v>
      </c>
      <c r="G64" s="4" t="str">
        <f t="shared" si="1"/>
        <v>0</v>
      </c>
      <c r="H64" s="3" t="s">
        <v>22</v>
      </c>
      <c r="I64" s="4" t="str">
        <f t="shared" si="2"/>
        <v>0</v>
      </c>
      <c r="J64" s="3" t="s">
        <v>30</v>
      </c>
      <c r="K64" s="4" t="str">
        <f t="shared" si="3"/>
        <v>0</v>
      </c>
      <c r="L64" s="3" t="s">
        <v>116</v>
      </c>
      <c r="M64" s="4" t="str">
        <f t="shared" si="4"/>
        <v>0</v>
      </c>
      <c r="N64" s="3" t="s">
        <v>30</v>
      </c>
      <c r="O64" s="4" t="str">
        <f t="shared" si="5"/>
        <v>0</v>
      </c>
      <c r="P64" s="3" t="s">
        <v>73</v>
      </c>
      <c r="Q64" s="4" t="str">
        <f t="shared" si="6"/>
        <v>0</v>
      </c>
      <c r="R64" s="3" t="s">
        <v>87</v>
      </c>
      <c r="S64" s="4" t="str">
        <f t="shared" si="7"/>
        <v>0</v>
      </c>
      <c r="T64" s="3" t="s">
        <v>36</v>
      </c>
      <c r="U64" s="4" t="str">
        <f t="shared" si="8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">
        <v>2022.0</v>
      </c>
      <c r="C1" s="1">
        <v>2023.0</v>
      </c>
      <c r="D1" s="1">
        <v>2024.0</v>
      </c>
      <c r="E1" s="1">
        <v>2025.0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93</v>
      </c>
      <c r="L1" s="1" t="s">
        <v>175</v>
      </c>
      <c r="M1" s="1" t="s">
        <v>176</v>
      </c>
      <c r="N1" s="5" t="s">
        <v>177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178</v>
      </c>
      <c r="B2" s="6">
        <f>(COUNTIF('2022'!G2:'2022'!G64,"1"))/63</f>
        <v>0.4444444444</v>
      </c>
      <c r="C2" s="6">
        <f>(COUNTIF('2023'!G2:'2023'!G64,"1"))/63</f>
        <v>0.5555555556</v>
      </c>
      <c r="D2" s="6">
        <f>(COUNTIF('2024'!G2:'2024'!G64,"1"))/63</f>
        <v>0.5873015873</v>
      </c>
      <c r="E2" s="6">
        <f>(COUNTIF('2025'!G2:'2025'!G64,"1"))/63</f>
        <v>0.7777777778</v>
      </c>
      <c r="F2" s="6">
        <f>((COUNTIF('2022'!G2:'2022'!G33,"1"))+(COUNTIF('2023'!G2:'2023'!G33,"1"))+(COUNTIF('2024'!G2:'2024'!G33,"1"))+(COUNTIF('2025'!G2:'2025'!G33,"1")))/128</f>
        <v>0.6875</v>
      </c>
      <c r="G2" s="6">
        <f>((COUNTIF('2022'!G34:'2022'!G49,"1"))+(COUNTIF('2023'!G34:'2023'!G49,"1"))+(COUNTIF('2024'!G34:'2024'!G49,"1"))+(COUNTIF('2025'!G34:'2025'!G49,"1")))/64</f>
        <v>0.625</v>
      </c>
      <c r="H2" s="6">
        <f>((COUNTIF('2022'!G50:'2022'!G57,"1"))+(COUNTIF('2023'!G50:'2023'!G57,"1"))+(COUNTIF('2024'!G50:'2024'!G57,"1"))+(COUNTIF('2025'!G50:'2025'!G57,"1")))/32</f>
        <v>0.40625</v>
      </c>
      <c r="I2" s="6">
        <f>((COUNTIF('2022'!G58:'2022'!G61,"1"))+(COUNTIF('2023'!G58:'2023'!G61,"1"))+(COUNTIF('2024'!G58:'2024'!G61,"1"))+(COUNTIF('2025'!G58:'2025'!G61,"1")))/16</f>
        <v>0.4375</v>
      </c>
      <c r="J2" s="6">
        <f>((COUNTIF('2022'!G62:'2022'!G63,"1"))+(COUNTIF('2023'!G62:'2023'!G63,"1"))+(COUNTIF('2024'!G62:'2024'!G63,"1"))+(COUNTIF('2025'!G62:'2025'!G63,"1")))/8</f>
        <v>0.125</v>
      </c>
      <c r="K2" s="6">
        <f>((COUNTIF('2022'!G64,"1"))+(COUNTIF('2023'!G64,"1"))+(COUNTIF('2024'!G64,"1"))+(COUNTIF('2025'!G64,"1")))/4</f>
        <v>0</v>
      </c>
      <c r="L2" s="6">
        <f>((COUNTIF('2022'!G2:'2022'!G64,"1"))+(COUNTIF('2023'!G2:'2023'!G64,"1"))+(COUNTIF('2024'!G2:'2024'!G64,"1"))+(COUNTIF('2025'!G2:'2025'!G64,"1")))/252</f>
        <v>0.5912698413</v>
      </c>
      <c r="M2" s="4">
        <f>(((((COUNTIF('2022'!G2:'2022'!G33,"1"))+(COUNTIF('2023'!G2:'2023'!G33,"1"))+(COUNTIF('2024'!G2:'2024'!G33,"1"))+(COUNTIF('2025'!G2:'2025'!G33,"1")))*10)+(((COUNTIF('2022'!G34:'2022'!G49,"1"))+(COUNTIF('2023'!G34:'2023'!G49,"1"))+(COUNTIF('2024'!G34:'2024'!G49,"1"))+(COUNTIF('2025'!G34:'2025'!G49,"1")))*20)+((((COUNTIF('2022'!G50:'2022'!G57,"1"))+(COUNTIF('2023'!G50:'2023'!G57,"1"))+(COUNTIF('2024'!G50:'2024'!G57,"1"))+(COUNTIF('2025'!G50:'2025'!G57,"1")))*40)+(((COUNTIF('2022'!G58:'2022'!G61,"1"))+(COUNTIF('2023'!G58:'2023'!G61,"1"))+(COUNTIF('2024'!G58:'2024'!G61,"1"))+(COUNTIF('2025'!G58:'2025'!G61,"1")))*80)+(((COUNTIF('2022'!G62:'2022'!G63,"1"))+(COUNTIF('2023'!G62:'2023'!G63,"1"))+(COUNTIF('2024'!G62:'2024'!G63,"1"))+(COUNTIF('2025'!G62:'2025'!G63,"1")))*160)+(((COUNTIF('2022'!G64,"1"))+(COUNTIF('2023'!G64,"1"))+(COUNTIF('2024'!G64,"1"))+(COUNTIF('2025'!G64,"1")))*320))))/4</f>
        <v>730</v>
      </c>
      <c r="N2" s="7">
        <f t="shared" ref="N2:N9" si="1">M2/5447.5</f>
        <v>0.134006425</v>
      </c>
    </row>
    <row r="3">
      <c r="A3" s="1" t="s">
        <v>179</v>
      </c>
      <c r="B3" s="6">
        <f>(COUNTIF('2022'!I2:'2022'!I64,"1"))/63</f>
        <v>0.5238095238</v>
      </c>
      <c r="C3" s="6">
        <f>(COUNTIF('2023'!I2:'2023'!I64,"1"))/63</f>
        <v>0.5555555556</v>
      </c>
      <c r="D3" s="6">
        <f>(COUNTIF('2024'!I2:'2024'!I64,"1"))/63</f>
        <v>0.4920634921</v>
      </c>
      <c r="E3" s="6">
        <f>(COUNTIF('2025'!I2:'2025'!I64,"1"))/63</f>
        <v>0.6666666667</v>
      </c>
      <c r="F3" s="6">
        <f>((COUNTIF('2022'!I2:'2022'!I33,"1"))+(COUNTIF('2023'!I2:'2023'!I33,"1"))+(COUNTIF('2024'!I2:'2024'!I33,"1"))+(COUNTIF('2025'!I2:'2025'!I33,"1")))/128</f>
        <v>0.640625</v>
      </c>
      <c r="G3" s="6">
        <f>((COUNTIF('2022'!I34:'2022'!I49,"1"))+(COUNTIF('2023'!I34:'2023'!I49,"1"))+(COUNTIF('2024'!I34:'2024'!I49,"1"))+(COUNTIF('2025'!I34:'2025'!I49,"1")))/64</f>
        <v>0.59375</v>
      </c>
      <c r="H3" s="6">
        <f>((COUNTIF('2022'!I50:'2022'!I57,"1"))+(COUNTIF('2023'!I50:'2023'!I57,"1"))+(COUNTIF('2024'!I50:'2024'!I57,"1"))+(COUNTIF('2025'!I50:'2025'!I57,"1")))/32</f>
        <v>0.4375</v>
      </c>
      <c r="I3" s="6">
        <f>((COUNTIF('2022'!I58:'2022'!I61,"1"))+(COUNTIF('2023'!I58:'2023'!I61,"1"))+(COUNTIF('2024'!I58:'2024'!I61,"1"))+(COUNTIF('2025'!I58:'2025'!I61,"1")))/16</f>
        <v>0.25</v>
      </c>
      <c r="J3" s="6">
        <f>((COUNTIF('2022'!I62:'2022'!I63,"1"))+(COUNTIF('2023'!I62:'2023'!I63,"1"))+(COUNTIF('2024'!I62:'2024'!I63,"1"))+(COUNTIF('2025'!I62:'2025'!I63,"1")))/8</f>
        <v>0.25</v>
      </c>
      <c r="K3" s="6">
        <f>((COUNTIF('2022'!I64,"1"))+(COUNTIF('2023'!I64,"1"))+(COUNTIF('2024'!I64,"1"))+(COUNTIF('2025'!I64,"1")))/4</f>
        <v>0.25</v>
      </c>
      <c r="L3" s="6">
        <f>((COUNTIF('2022'!I2:'2022'!I64,"1"))+(COUNTIF('2023'!I2:'2023'!I64,"1"))+(COUNTIF('2024'!I2:'2024'!I64,"1"))+(COUNTIF('2025'!I2:'2025'!I64,"1")))/252</f>
        <v>0.5595238095</v>
      </c>
      <c r="M3" s="4">
        <f>(((((COUNTIF('2022'!I2:'2022'!I33,"1"))+(COUNTIF('2023'!I2:'2023'!I33,"1"))+(COUNTIF('2024'!I2:'2024'!I33,"1"))+(COUNTIF('2025'!I2:'2025'!I33,"1")))*10)+(((COUNTIF('2022'!I34:'2022'!I49,"1"))+(COUNTIF('2023'!I34:'2023'!I49,"1"))+(COUNTIF('2024'!I34:'2024'!I49,"1"))+(COUNTIF('2025'!I34:'2025'!I49,"1")))*20)+((((COUNTIF('2022'!I50:'2022'!I57,"1"))+(COUNTIF('2023'!I50:'2023'!I57,"1"))+(COUNTIF('2024'!I50:'2024'!I57,"1"))+(COUNTIF('2025'!I50:'2025'!I57,"1")))*40)+(((COUNTIF('2022'!I58:'2022'!I61,"1"))+(COUNTIF('2023'!I58:'2023'!I61,"1"))+(COUNTIF('2024'!I58:'2024'!I61,"1"))+(COUNTIF('2025'!I58:'2025'!I61,"1")))*80)+(((COUNTIF('2022'!I62:'2022'!I63,"1"))+(COUNTIF('2023'!I62:'2023'!I63,"1"))+(COUNTIF('2024'!I62:'2024'!I63,"1"))+(COUNTIF('2025'!I62:'2025'!I63,"1")))*160)+(((COUNTIF('2022'!I64,"1"))+(COUNTIF('2023'!I64,"1"))+(COUNTIF('2024'!I64,"1"))+(COUNTIF('2025'!I64,"1")))*320))))/4</f>
        <v>775</v>
      </c>
      <c r="N3" s="7">
        <f t="shared" si="1"/>
        <v>0.142267095</v>
      </c>
    </row>
    <row r="4">
      <c r="A4" s="1" t="s">
        <v>180</v>
      </c>
      <c r="B4" s="6">
        <f>(COUNTIF('2022'!K2:'2022'!K64,"1"))/63</f>
        <v>0.4761904762</v>
      </c>
      <c r="C4" s="6">
        <f>(COUNTIF('2023'!K2:'2023'!K64,"1"))/63</f>
        <v>0.4761904762</v>
      </c>
      <c r="D4" s="6">
        <f>(COUNTIF('2024'!K2:'2024'!K64,"1"))/63</f>
        <v>0.5555555556</v>
      </c>
      <c r="E4" s="6">
        <f>(COUNTIF('2025'!K2:'2025'!K64,"1"))/63</f>
        <v>0.6349206349</v>
      </c>
      <c r="F4" s="6">
        <f>((COUNTIF('2022'!K2:'2022'!K33,"1"))+(COUNTIF('2023'!K2:'2023'!K33,"1"))+(COUNTIF('2024'!K2:'2024'!K33,"1"))+(COUNTIF('2025'!K2:'2025'!K33,"1")))/128</f>
        <v>0.6875</v>
      </c>
      <c r="G4" s="6">
        <f>((COUNTIF('2022'!K34:'2022'!K49,"1"))+(COUNTIF('2023'!K34:'2023'!K49,"1"))+(COUNTIF('2024'!K34:'2024'!K49,"1"))+(COUNTIF('2025'!K34:'2025'!K49,"1")))/64</f>
        <v>0.484375</v>
      </c>
      <c r="H4" s="6">
        <f>((COUNTIF('2022'!K50:'2022'!K57,"1"))+(COUNTIF('2023'!K50:'2023'!K57,"1"))+(COUNTIF('2024'!K50:'2024'!K57,"1"))+(COUNTIF('2025'!K50:'2025'!K57,"1")))/32</f>
        <v>0.3125</v>
      </c>
      <c r="I4" s="6">
        <f>((COUNTIF('2022'!K58:'2022'!K61,"1"))+(COUNTIF('2023'!K58:'2023'!K61,"1"))+(COUNTIF('2024'!K58:'2024'!K61,"1"))+(COUNTIF('2025'!K58:'2025'!K61,"1")))/16</f>
        <v>0.25</v>
      </c>
      <c r="J4" s="6">
        <f>((COUNTIF('2022'!K62:'2022'!K63,"1"))+(COUNTIF('2023'!K62:'2023'!K63,"1"))+(COUNTIF('2024'!K62:'2024'!K63,"1"))+(COUNTIF('2025'!K62:'2025'!K63,"1")))/8</f>
        <v>0.25</v>
      </c>
      <c r="K4" s="6">
        <f>((COUNTIF('2022'!K64,"1"))+(COUNTIF('2023'!K64,"1"))+(COUNTIF('2024'!K64,"1"))+(COUNTIF('2025'!K64,"1")))/4</f>
        <v>0</v>
      </c>
      <c r="L4" s="6">
        <f>((COUNTIF('2022'!K2:'2022'!K64,"1"))+(COUNTIF('2023'!K2:'2023'!K64,"1"))+(COUNTIF('2024'!K2:'2024'!K64,"1"))+(COUNTIF('2025'!K2:'2025'!K64,"1")))/252</f>
        <v>0.5357142857</v>
      </c>
      <c r="M4" s="4">
        <f>(((((COUNTIF('2022'!K2:'2022'!K33,"1"))+(COUNTIF('2023'!K2:'2023'!K33,"1"))+(COUNTIF('2024'!K2:'2024'!K33,"1"))+(COUNTIF('2025'!K2:'2025'!K33,"1")))*10)+(((COUNTIF('2022'!K34:'2022'!K49,"1"))+(COUNTIF('2023'!K34:'2023'!K49,"1"))+(COUNTIF('2024'!K34:'2024'!K49,"1"))+(COUNTIF('2025'!K34:'2025'!K49,"1")))*20)+((((COUNTIF('2022'!K50:'2022'!K57,"1"))+(COUNTIF('2023'!K50:'2023'!K57,"1"))+(COUNTIF('2024'!K50:'2024'!K57,"1"))+(COUNTIF('2025'!K50:'2025'!K57,"1")))*40)+(((COUNTIF('2022'!K58:'2022'!K61,"1"))+(COUNTIF('2023'!K58:'2023'!K61,"1"))+(COUNTIF('2024'!K58:'2024'!K61,"1"))+(COUNTIF('2025'!K58:'2025'!K61,"1")))*80)+(((COUNTIF('2022'!K62:'2022'!K63,"1"))+(COUNTIF('2023'!K62:'2023'!K63,"1"))+(COUNTIF('2024'!K62:'2024'!K63,"1"))+(COUNTIF('2025'!K62:'2025'!K63,"1")))*160)+(((COUNTIF('2022'!K64,"1"))+(COUNTIF('2023'!K64,"1"))+(COUNTIF('2024'!K64,"1"))+(COUNTIF('2025'!K64,"1")))*320))))/4</f>
        <v>635</v>
      </c>
      <c r="N4" s="7">
        <f t="shared" si="1"/>
        <v>0.1165672327</v>
      </c>
    </row>
    <row r="5">
      <c r="A5" s="1" t="s">
        <v>181</v>
      </c>
      <c r="B5" s="6">
        <f>(COUNTIF('2022'!M2:'2022'!M64,"1"))/63</f>
        <v>0.4603174603</v>
      </c>
      <c r="C5" s="6">
        <f>(COUNTIF('2023'!M2:'2023'!M64,"1"))/63</f>
        <v>0.5555555556</v>
      </c>
      <c r="D5" s="6">
        <f>(COUNTIF('2024'!M2:'2024'!M64,"1"))/63</f>
        <v>0.5396825397</v>
      </c>
      <c r="E5" s="6">
        <f>(COUNTIF('2025'!M2:'2025'!M64,"1"))/63</f>
        <v>0.5873015873</v>
      </c>
      <c r="F5" s="6">
        <f>((COUNTIF('2022'!M2:'2022'!M33,"1"))+(COUNTIF('2023'!M2:'2023'!M33,"1"))+(COUNTIF('2024'!M2:'2024'!M33,"1"))+(COUNTIF('2025'!M2:'2025'!M33,"1")))/128</f>
        <v>0.71875</v>
      </c>
      <c r="G5" s="6">
        <f>((COUNTIF('2022'!M34:'2022'!M49,"1"))+(COUNTIF('2023'!M34:'2023'!M49,"1"))+(COUNTIF('2024'!M34:'2024'!M49,"1"))+(COUNTIF('2025'!M34:'2025'!M49,"1")))/64</f>
        <v>0.515625</v>
      </c>
      <c r="H5" s="6">
        <f>((COUNTIF('2022'!M50:'2022'!M57,"1"))+(COUNTIF('2023'!M50:'2023'!M57,"1"))+(COUNTIF('2024'!M50:'2024'!M57,"1"))+(COUNTIF('2025'!M50:'2025'!M57,"1")))/32</f>
        <v>0.25</v>
      </c>
      <c r="I5" s="6">
        <f>((COUNTIF('2022'!M58:'2022'!M61,"1"))+(COUNTIF('2023'!M58:'2023'!M61,"1"))+(COUNTIF('2024'!M58:'2024'!M61,"1"))+(COUNTIF('2025'!M58:'2025'!M61,"1")))/16</f>
        <v>0.125</v>
      </c>
      <c r="J5" s="6">
        <f>((COUNTIF('2022'!M62:'2022'!M63,"1"))+(COUNTIF('2023'!M62:'2023'!M63,"1"))+(COUNTIF('2024'!M62:'2024'!M63,"1"))+(COUNTIF('2025'!M62:'2025'!M63,"1")))/8</f>
        <v>0</v>
      </c>
      <c r="K5" s="6">
        <f>((COUNTIF('2022'!M64,"1"))+(COUNTIF('2023'!M64,"1"))+(COUNTIF('2024'!M64,"1"))+(COUNTIF('2025'!M64,"1")))/4</f>
        <v>0</v>
      </c>
      <c r="L5" s="6">
        <f>((COUNTIF('2022'!M2:'2022'!M64,"1"))+(COUNTIF('2023'!M2:'2023'!M64,"1"))+(COUNTIF('2024'!M2:'2024'!M64,"1"))+(COUNTIF('2025'!M2:'2025'!M64,"1")))/252</f>
        <v>0.5357142857</v>
      </c>
      <c r="M5" s="4">
        <f>(((((COUNTIF('2022'!M2:'2022'!M33,"1"))+(COUNTIF('2023'!M2:'2023'!M33,"1"))+(COUNTIF('2024'!M2:'2024'!M33,"1"))+(COUNTIF('2025'!M2:'2025'!M33,"1")))*10)+(((COUNTIF('2022'!M34:'2022'!M49,"1"))+(COUNTIF('2023'!M34:'2023'!M49,"1"))+(COUNTIF('2024'!M34:'2024'!M49,"1"))+(COUNTIF('2025'!M34:'2025'!M49,"1")))*20)+((((COUNTIF('2022'!M50:'2022'!M57,"1"))+(COUNTIF('2023'!M50:'2023'!M57,"1"))+(COUNTIF('2024'!M50:'2024'!M57,"1"))+(COUNTIF('2025'!M50:'2025'!M57,"1")))*40)+(((COUNTIF('2022'!M58:'2022'!M61,"1"))+(COUNTIF('2023'!M58:'2023'!M61,"1"))+(COUNTIF('2024'!M58:'2024'!M61,"1"))+(COUNTIF('2025'!M58:'2025'!M61,"1")))*80)+(((COUNTIF('2022'!M62:'2022'!M63,"1"))+(COUNTIF('2023'!M62:'2023'!M63,"1"))+(COUNTIF('2024'!M62:'2024'!M63,"1"))+(COUNTIF('2025'!M62:'2025'!M63,"1")))*160)+(((COUNTIF('2022'!M64,"1"))+(COUNTIF('2023'!M64,"1"))+(COUNTIF('2024'!M64,"1"))+(COUNTIF('2025'!M64,"1")))*320))))/4</f>
        <v>515</v>
      </c>
      <c r="N5" s="7">
        <f t="shared" si="1"/>
        <v>0.09453877926</v>
      </c>
    </row>
    <row r="6">
      <c r="A6" s="1" t="s">
        <v>182</v>
      </c>
      <c r="B6" s="6">
        <f>(COUNTIF('2022'!O2:'2022'!O64,"1"))/63</f>
        <v>0.4444444444</v>
      </c>
      <c r="C6" s="6">
        <f>(COUNTIF('2023'!O2:'2023'!O64,"1"))/63</f>
        <v>0.4920634921</v>
      </c>
      <c r="D6" s="6">
        <f>(COUNTIF('2024'!O2:'2024'!O64,"1"))/63</f>
        <v>0.5079365079</v>
      </c>
      <c r="E6" s="6">
        <f>(COUNTIF('2025'!O2:'2025'!O64,"1"))/63</f>
        <v>0.5714285714</v>
      </c>
      <c r="F6" s="6">
        <f>((COUNTIF('2022'!O2:'2022'!O33,"1"))+(COUNTIF('2023'!O2:'2023'!O33,"1"))+(COUNTIF('2024'!O2:'2024'!O33,"1"))+(COUNTIF('2025'!O2:'2025'!O33,"1")))/128</f>
        <v>0.7109375</v>
      </c>
      <c r="G6" s="6">
        <f>((COUNTIF('2022'!O34:'2022'!O49,"1"))+(COUNTIF('2023'!O34:'2023'!O49,"1"))+(COUNTIF('2024'!O34:'2024'!O49,"1"))+(COUNTIF('2025'!O34:'2025'!O49,"1")))/64</f>
        <v>0.4375</v>
      </c>
      <c r="H6" s="6">
        <f>((COUNTIF('2022'!O50:'2022'!O57,"1"))+(COUNTIF('2023'!O50:'2023'!O57,"1"))+(COUNTIF('2024'!O50:'2024'!O57,"1"))+(COUNTIF('2025'!O50:'2025'!O57,"1")))/32</f>
        <v>0.1875</v>
      </c>
      <c r="I6" s="6">
        <f>((COUNTIF('2022'!O58:'2022'!O61,"1"))+(COUNTIF('2023'!O58:'2023'!O61,"1"))+(COUNTIF('2024'!O58:'2024'!O61,"1"))+(COUNTIF('2025'!O58:'2025'!O61,"1")))/16</f>
        <v>0.125</v>
      </c>
      <c r="J6" s="6">
        <f>((COUNTIF('2022'!O62:'2022'!O63,"1"))+(COUNTIF('2023'!O62:'2023'!O63,"1"))+(COUNTIF('2024'!O62:'2024'!O63,"1"))+(COUNTIF('2025'!O62:'2025'!O63,"1")))/8</f>
        <v>0</v>
      </c>
      <c r="K6" s="6">
        <f>((COUNTIF('2022'!O64,"1"))+(COUNTIF('2023'!O64,"1"))+(COUNTIF('2024'!O64,"1"))+(COUNTIF('2025'!O64,"1")))/4</f>
        <v>0</v>
      </c>
      <c r="L6" s="6">
        <f>((COUNTIF('2022'!O2:'2022'!O64,"1"))+(COUNTIF('2023'!O2:'2023'!O64,"1"))+(COUNTIF('2024'!O2:'2024'!O64,"1"))+(COUNTIF('2025'!O2:'2025'!O64,"1")))/252</f>
        <v>0.503968254</v>
      </c>
      <c r="M6" s="4">
        <f>(((((COUNTIF('2022'!O2:'2022'!O33,"1"))+(COUNTIF('2023'!O2:'2023'!O33,"1"))+(COUNTIF('2024'!O2:'2024'!O33,"1"))+(COUNTIF('2025'!O2:'2025'!O33,"1")))*10)+(((COUNTIF('2022'!O34:'2022'!O49,"1"))+(COUNTIF('2023'!O34:'2023'!O49,"1"))+(COUNTIF('2024'!O34:'2024'!O49,"1"))+(COUNTIF('2025'!O34:'2025'!O49,"1")))*20)+((((COUNTIF('2022'!O50:'2022'!O57,"1"))+(COUNTIF('2023'!O50:'2023'!O57,"1"))+(COUNTIF('2024'!O50:'2024'!O57,"1"))+(COUNTIF('2025'!O50:'2025'!O57,"1")))*40)+(((COUNTIF('2022'!O58:'2022'!O61,"1"))+(COUNTIF('2023'!O58:'2023'!O61,"1"))+(COUNTIF('2024'!O58:'2024'!O61,"1"))+(COUNTIF('2025'!O58:'2025'!O61,"1")))*80)+(((COUNTIF('2022'!O62:'2022'!O63,"1"))+(COUNTIF('2023'!O62:'2023'!O63,"1"))+(COUNTIF('2024'!O62:'2024'!O63,"1"))+(COUNTIF('2025'!O62:'2025'!O63,"1")))*160)+(((COUNTIF('2022'!O64,"1"))+(COUNTIF('2023'!O64,"1"))+(COUNTIF('2024'!O64,"1"))+(COUNTIF('2025'!O64,"1")))*320))))/4</f>
        <v>467.5</v>
      </c>
      <c r="N6" s="7">
        <f t="shared" si="1"/>
        <v>0.08581918311</v>
      </c>
    </row>
    <row r="7">
      <c r="A7" s="1" t="s">
        <v>183</v>
      </c>
      <c r="B7" s="6">
        <f>(COUNTIF('2022'!Q2:'2022'!Q64,"1"))/63</f>
        <v>0.4761904762</v>
      </c>
      <c r="C7" s="6">
        <f>(COUNTIF('2023'!Q2:'2023'!Q64,"1"))/63</f>
        <v>0.5396825397</v>
      </c>
      <c r="D7" s="6">
        <f>(COUNTIF('2024'!Q2:'2024'!Q64,"1"))/63</f>
        <v>0.5079365079</v>
      </c>
      <c r="E7" s="6">
        <f>(COUNTIF('2025'!Q2:'2025'!Q64,"1"))/63</f>
        <v>0.5079365079</v>
      </c>
      <c r="F7" s="6">
        <f>((COUNTIF('2022'!Q2:'2022'!Q33,"1"))+(COUNTIF('2023'!Q2:'2023'!Q33,"1"))+(COUNTIF('2024'!Q2:'2024'!Q33,"1"))+(COUNTIF('2025'!Q2:'2025'!Q33,"1")))/128</f>
        <v>0.6875</v>
      </c>
      <c r="G7" s="6">
        <f>((COUNTIF('2022'!Q34:'2022'!Q49,"1"))+(COUNTIF('2023'!Q34:'2023'!Q49,"1"))+(COUNTIF('2024'!Q34:'2024'!Q49,"1"))+(COUNTIF('2025'!Q34:'2025'!Q49,"1")))/64</f>
        <v>0.5</v>
      </c>
      <c r="H7" s="6">
        <f>((COUNTIF('2022'!Q50:'2022'!Q57,"1"))+(COUNTIF('2023'!Q50:'2023'!Q57,"1"))+(COUNTIF('2024'!Q50:'2024'!Q57,"1"))+(COUNTIF('2025'!Q50:'2025'!Q57,"1")))/32</f>
        <v>0.1875</v>
      </c>
      <c r="I7" s="6">
        <f>((COUNTIF('2022'!Q58:'2022'!Q61,"1"))+(COUNTIF('2023'!Q58:'2023'!Q61,"1"))+(COUNTIF('2024'!Q58:'2024'!Q61,"1"))+(COUNTIF('2025'!Q58:'2025'!Q61,"1")))/16</f>
        <v>0.0625</v>
      </c>
      <c r="J7" s="6">
        <f>((COUNTIF('2022'!Q62:'2022'!Q63,"1"))+(COUNTIF('2023'!Q62:'2023'!Q63,"1"))+(COUNTIF('2024'!Q62:'2024'!Q63,"1"))+(COUNTIF('2025'!Q62:'2025'!Q63,"1")))/8</f>
        <v>0.125</v>
      </c>
      <c r="K7" s="6">
        <f>((COUNTIF('2022'!Q64,"1"))+(COUNTIF('2023'!Q64,"1"))+(COUNTIF('2024'!Q64,"1"))+(COUNTIF('2025'!Q64,"1")))/4</f>
        <v>0</v>
      </c>
      <c r="L7" s="6">
        <f>((COUNTIF('2022'!Q2:'2022'!Q64,"1"))+(COUNTIF('2023'!Q2:'2023'!Q64,"1"))+(COUNTIF('2024'!Q2:'2024'!Q64,"1"))+(COUNTIF('2025'!Q2:'2025'!Q64,"1")))/252</f>
        <v>0.5079365079</v>
      </c>
      <c r="M7" s="4">
        <f>(((((COUNTIF('2022'!Q2:'2022'!Q33,"1"))+(COUNTIF('2023'!Q2:'2023'!Q33,"1"))+(COUNTIF('2024'!Q2:'2024'!Q33,"1"))+(COUNTIF('2025'!Q2:'2025'!Q33,"1")))*10)+(((COUNTIF('2022'!Q34:'2022'!Q49,"1"))+(COUNTIF('2023'!Q34:'2023'!Q49,"1"))+(COUNTIF('2024'!Q34:'2024'!Q49,"1"))+(COUNTIF('2025'!Q34:'2025'!Q49,"1")))*20)+((((COUNTIF('2022'!Q50:'2022'!Q57,"1"))+(COUNTIF('2023'!Q50:'2023'!Q57,"1"))+(COUNTIF('2024'!Q50:'2024'!Q57,"1"))+(COUNTIF('2025'!Q50:'2025'!Q57,"1")))*40)+(((COUNTIF('2022'!Q58:'2022'!Q61,"1"))+(COUNTIF('2023'!Q58:'2023'!Q61,"1"))+(COUNTIF('2024'!Q58:'2024'!Q61,"1"))+(COUNTIF('2025'!Q58:'2025'!Q61,"1")))*80)+(((COUNTIF('2022'!Q62:'2022'!Q63,"1"))+(COUNTIF('2023'!Q62:'2023'!Q63,"1"))+(COUNTIF('2024'!Q62:'2024'!Q63,"1"))+(COUNTIF('2025'!Q62:'2025'!Q63,"1")))*160)+(((COUNTIF('2022'!Q64,"1"))+(COUNTIF('2023'!Q64,"1"))+(COUNTIF('2024'!Q64,"1"))+(COUNTIF('2025'!Q64,"1")))*320))))/4</f>
        <v>500</v>
      </c>
      <c r="N7" s="7">
        <f t="shared" si="1"/>
        <v>0.09178522258</v>
      </c>
    </row>
    <row r="8">
      <c r="A8" s="1" t="s">
        <v>184</v>
      </c>
      <c r="B8" s="6">
        <f>(COUNTIF('2022'!S2:'2022'!S64,"1"))/63</f>
        <v>0.5555555556</v>
      </c>
      <c r="C8" s="6">
        <f>(COUNTIF('2023'!S2:'2023'!S64,"1"))/63</f>
        <v>0.5396825397</v>
      </c>
      <c r="D8" s="6">
        <f>(COUNTIF('2024'!S2:'2024'!S64,"1"))/63</f>
        <v>0.5238095238</v>
      </c>
      <c r="E8" s="6">
        <f>(COUNTIF('2025'!S2:'2025'!S64,"1"))/63</f>
        <v>0.7301587302</v>
      </c>
      <c r="F8" s="6">
        <f>((COUNTIF('2022'!S2:'2022'!S33,"1"))+(COUNTIF('2023'!S2:'2023'!S33,"1"))+(COUNTIF('2024'!S2:'2024'!S33,"1"))+(COUNTIF('2025'!S2:'2025'!S33,"1")))/128</f>
        <v>0.6328125</v>
      </c>
      <c r="G8" s="6">
        <f>((COUNTIF('2022'!S34:'2022'!S49,"1"))+(COUNTIF('2023'!S34:'2023'!S49,"1"))+(COUNTIF('2024'!S34:'2024'!S49,"1"))+(COUNTIF('2025'!S34:'2025'!S49,"1")))/64</f>
        <v>0.671875</v>
      </c>
      <c r="H8" s="6">
        <f>((COUNTIF('2022'!S50:'2022'!S57,"1"))+(COUNTIF('2023'!S50:'2023'!S57,"1"))+(COUNTIF('2024'!S50:'2024'!S57,"1"))+(COUNTIF('2025'!S50:'2025'!S57,"1")))/32</f>
        <v>0.40625</v>
      </c>
      <c r="I8" s="6">
        <f>((COUNTIF('2022'!S58:'2022'!S61,"1"))+(COUNTIF('2023'!S58:'2023'!S61,"1"))+(COUNTIF('2024'!S58:'2024'!S61,"1"))+(COUNTIF('2025'!S58:'2025'!S61,"1")))/16</f>
        <v>0.375</v>
      </c>
      <c r="J8" s="6">
        <f>((COUNTIF('2022'!S62:'2022'!S63,"1"))+(COUNTIF('2023'!S62:'2023'!S63,"1"))+(COUNTIF('2024'!S62:'2024'!S63,"1"))+(COUNTIF('2025'!S62:'2025'!S63,"1")))/8</f>
        <v>0.5</v>
      </c>
      <c r="K8" s="6">
        <f>((COUNTIF('2022'!S64,"1"))+(COUNTIF('2023'!S64,"1"))+(COUNTIF('2024'!S64,"1"))+(COUNTIF('2025'!S64,"1")))/4</f>
        <v>0.25</v>
      </c>
      <c r="L8" s="6">
        <f>((COUNTIF('2022'!S2:'2022'!S64,"1"))+(COUNTIF('2023'!S2:'2023'!S64,"1"))+(COUNTIF('2024'!S2:'2024'!S64,"1"))+(COUNTIF('2025'!S2:'2025'!S64,"1")))/252</f>
        <v>0.5873015873</v>
      </c>
      <c r="M8" s="4">
        <f>(((((COUNTIF('2022'!S2:'2022'!S33,"1"))+(COUNTIF('2023'!S2:'2023'!S33,"1"))+(COUNTIF('2024'!S2:'2024'!S33,"1"))+(COUNTIF('2025'!S2:'2025'!S33,"1")))*10)+(((COUNTIF('2022'!S34:'2022'!S49,"1"))+(COUNTIF('2023'!S34:'2023'!S49,"1"))+(COUNTIF('2024'!S34:'2024'!S49,"1"))+(COUNTIF('2025'!S34:'2025'!S49,"1")))*20)+((((COUNTIF('2022'!S50:'2022'!S57,"1"))+(COUNTIF('2023'!S50:'2023'!S57,"1"))+(COUNTIF('2024'!S50:'2024'!S57,"1"))+(COUNTIF('2025'!S50:'2025'!S57,"1")))*40)+(((COUNTIF('2022'!S58:'2022'!S61,"1"))+(COUNTIF('2023'!S58:'2023'!S61,"1"))+(COUNTIF('2024'!S58:'2024'!S61,"1"))+(COUNTIF('2025'!S58:'2025'!S61,"1")))*80)+(((COUNTIF('2022'!S62:'2022'!S63,"1"))+(COUNTIF('2023'!S62:'2023'!S63,"1"))+(COUNTIF('2024'!S62:'2024'!S63,"1"))+(COUNTIF('2025'!S62:'2025'!S63,"1")))*160)+(((COUNTIF('2022'!S64,"1"))+(COUNTIF('2023'!S64,"1"))+(COUNTIF('2024'!S64,"1"))+(COUNTIF('2025'!S64,"1")))*320))))/4</f>
        <v>907.5</v>
      </c>
      <c r="N8" s="7">
        <f t="shared" si="1"/>
        <v>0.166590179</v>
      </c>
    </row>
    <row r="9">
      <c r="A9" s="1" t="s">
        <v>185</v>
      </c>
      <c r="B9" s="6">
        <f>(COUNTIF('2022'!U2:'2022'!U64,"1"))/63</f>
        <v>0.4444444444</v>
      </c>
      <c r="C9" s="6">
        <f>(COUNTIF('2023'!U2:'2023'!U64,"1"))/63</f>
        <v>0.4920634921</v>
      </c>
      <c r="D9" s="6">
        <f>(COUNTIF('2024'!U2:'2024'!U64,"1"))/63</f>
        <v>0.4761904762</v>
      </c>
      <c r="E9" s="6">
        <f>(COUNTIF('2025'!U2:'2025'!U64,"1"))/63</f>
        <v>0.7301587302</v>
      </c>
      <c r="F9" s="6">
        <f>((COUNTIF('2022'!U2:'2022'!U33,"1"))+(COUNTIF('2023'!U2:'2023'!U33,"1"))+(COUNTIF('2024'!U2:'2024'!U33,"1"))+(COUNTIF('2025'!U2:'2025'!U33,"1")))/128</f>
        <v>0.65625</v>
      </c>
      <c r="G9" s="6">
        <f>((COUNTIF('2022'!U34:'2022'!U49,"1"))+(COUNTIF('2023'!U34:'2023'!U49,"1"))+(COUNTIF('2024'!U34:'2024'!U49,"1"))+(COUNTIF('2025'!U34:'2025'!U49,"1")))/64</f>
        <v>0.546875</v>
      </c>
      <c r="H9" s="6">
        <f>((COUNTIF('2022'!U50:'2022'!U57,"1"))+(COUNTIF('2023'!U50:'2023'!U57,"1"))+(COUNTIF('2024'!U50:'2024'!U57,"1"))+(COUNTIF('2025'!U50:'2025'!U57,"1")))/32</f>
        <v>0.3125</v>
      </c>
      <c r="I9" s="6">
        <f>((COUNTIF('2022'!U58:'2022'!U61,"1"))+(COUNTIF('2023'!U58:'2023'!U61,"1"))+(COUNTIF('2024'!U58:'2024'!U61,"1"))+(COUNTIF('2025'!U58:'2025'!U61,"1")))/16</f>
        <v>0.3125</v>
      </c>
      <c r="J9" s="6">
        <f>((COUNTIF('2022'!U62:'2022'!U63,"1"))+(COUNTIF('2023'!U62:'2023'!U63,"1"))+(COUNTIF('2024'!U62:'2024'!U63,"1"))+(COUNTIF('2025'!U62:'2025'!U63,"1")))/8</f>
        <v>0.125</v>
      </c>
      <c r="K9" s="6">
        <f>((COUNTIF('2022'!U64,"1"))+(COUNTIF('2023'!U64,"1"))+(COUNTIF('2024'!U64,"1"))+(COUNTIF('2025'!U64,"1")))/4</f>
        <v>0</v>
      </c>
      <c r="L9" s="6">
        <f>((COUNTIF('2022'!U2:'2022'!U64,"1"))+(COUNTIF('2023'!U2:'2023'!U64,"1"))+(COUNTIF('2024'!U2:'2024'!U64,"1"))+(COUNTIF('2025'!U2:'2025'!U64,"1")))/252</f>
        <v>0.5357142857</v>
      </c>
      <c r="M9" s="4">
        <f>(((((COUNTIF('2022'!U2:'2022'!U33,"1"))+(COUNTIF('2023'!U2:'2023'!U33,"1"))+(COUNTIF('2024'!U2:'2024'!U33,"1"))+(COUNTIF('2025'!U2:'2025'!U33,"1")))*10)+(((COUNTIF('2022'!U34:'2022'!U49,"1"))+(COUNTIF('2023'!U34:'2023'!U49,"1"))+(COUNTIF('2024'!U34:'2024'!U49,"1"))+(COUNTIF('2025'!U34:'2025'!U49,"1")))*20)+((((COUNTIF('2022'!U50:'2022'!U57,"1"))+(COUNTIF('2023'!U50:'2023'!U57,"1"))+(COUNTIF('2024'!U50:'2024'!U57,"1"))+(COUNTIF('2025'!U50:'2025'!U57,"1")))*40)+(((COUNTIF('2022'!U58:'2022'!U61,"1"))+(COUNTIF('2023'!U58:'2023'!U61,"1"))+(COUNTIF('2024'!U58:'2024'!U61,"1"))+(COUNTIF('2025'!U58:'2025'!U61,"1")))*80)+(((COUNTIF('2022'!U62:'2022'!U63,"1"))+(COUNTIF('2023'!U62:'2023'!U63,"1"))+(COUNTIF('2024'!U62:'2024'!U63,"1"))+(COUNTIF('2025'!U62:'2025'!U63,"1")))*160)+(((COUNTIF('2022'!U64,"1"))+(COUNTIF('2023'!U64,"1"))+(COUNTIF('2024'!U64,"1"))+(COUNTIF('2025'!U64,"1")))*320))))/4</f>
        <v>625</v>
      </c>
      <c r="N9" s="7">
        <f t="shared" si="1"/>
        <v>0.1147315282</v>
      </c>
    </row>
    <row r="10">
      <c r="A10" s="1" t="s">
        <v>186</v>
      </c>
      <c r="B10" s="6">
        <f t="shared" ref="B10:K10" si="2">average(B2:B9)</f>
        <v>0.4781746032</v>
      </c>
      <c r="C10" s="6">
        <f t="shared" si="2"/>
        <v>0.5257936508</v>
      </c>
      <c r="D10" s="6">
        <f t="shared" si="2"/>
        <v>0.5238095238</v>
      </c>
      <c r="E10" s="6">
        <f t="shared" si="2"/>
        <v>0.6507936508</v>
      </c>
      <c r="F10" s="6">
        <f t="shared" si="2"/>
        <v>0.677734375</v>
      </c>
      <c r="G10" s="6">
        <f t="shared" si="2"/>
        <v>0.546875</v>
      </c>
      <c r="H10" s="6">
        <f t="shared" si="2"/>
        <v>0.3125</v>
      </c>
      <c r="I10" s="6">
        <f t="shared" si="2"/>
        <v>0.2421875</v>
      </c>
      <c r="J10" s="6">
        <f t="shared" si="2"/>
        <v>0.171875</v>
      </c>
      <c r="K10" s="6">
        <f t="shared" si="2"/>
        <v>0.0625</v>
      </c>
      <c r="L10" s="6">
        <f>AVERAGE(L2:L9)</f>
        <v>0.5446428571</v>
      </c>
      <c r="N10" s="7"/>
    </row>
    <row r="11">
      <c r="A11" s="2"/>
      <c r="N11" s="7"/>
    </row>
    <row r="12">
      <c r="A12" s="2"/>
      <c r="N12" s="7"/>
    </row>
    <row r="13">
      <c r="A13" s="2"/>
      <c r="N13" s="7"/>
    </row>
    <row r="14">
      <c r="A14" s="2"/>
      <c r="N14" s="7"/>
    </row>
    <row r="15">
      <c r="A15" s="2"/>
      <c r="N15" s="7"/>
    </row>
    <row r="16">
      <c r="A16" s="2"/>
      <c r="N16" s="7"/>
    </row>
    <row r="17">
      <c r="A17" s="2"/>
      <c r="N17" s="7"/>
    </row>
    <row r="18">
      <c r="A18" s="2"/>
      <c r="N18" s="7"/>
    </row>
    <row r="19">
      <c r="A19" s="2"/>
      <c r="N19" s="7"/>
    </row>
    <row r="20">
      <c r="A20" s="2"/>
      <c r="N20" s="7"/>
    </row>
    <row r="21">
      <c r="A21" s="2"/>
      <c r="N21" s="7"/>
    </row>
    <row r="22">
      <c r="A22" s="2"/>
      <c r="N22" s="7"/>
    </row>
    <row r="23">
      <c r="A23" s="2"/>
      <c r="N23" s="7"/>
    </row>
    <row r="24">
      <c r="A24" s="2"/>
      <c r="N24" s="7"/>
    </row>
    <row r="25">
      <c r="A25" s="2"/>
      <c r="N25" s="7"/>
    </row>
    <row r="26">
      <c r="A26" s="2"/>
      <c r="N26" s="7"/>
    </row>
    <row r="27">
      <c r="A27" s="2"/>
      <c r="N27" s="7"/>
    </row>
    <row r="28">
      <c r="A28" s="2"/>
      <c r="N28" s="7"/>
    </row>
    <row r="29">
      <c r="A29" s="2"/>
      <c r="N29" s="7"/>
    </row>
    <row r="30">
      <c r="A30" s="2"/>
      <c r="N30" s="7"/>
    </row>
    <row r="31">
      <c r="A31" s="2"/>
      <c r="N31" s="7"/>
    </row>
    <row r="32">
      <c r="A32" s="2"/>
      <c r="N32" s="7"/>
    </row>
    <row r="33">
      <c r="A33" s="2"/>
      <c r="N33" s="7"/>
    </row>
    <row r="34">
      <c r="A34" s="2"/>
      <c r="N34" s="7"/>
    </row>
    <row r="35">
      <c r="A35" s="2"/>
      <c r="N35" s="7"/>
    </row>
    <row r="36">
      <c r="A36" s="2"/>
      <c r="N36" s="7"/>
    </row>
    <row r="37">
      <c r="A37" s="2"/>
      <c r="N37" s="7"/>
    </row>
    <row r="38">
      <c r="A38" s="2"/>
      <c r="N38" s="7"/>
    </row>
    <row r="39">
      <c r="A39" s="2"/>
      <c r="N39" s="7"/>
    </row>
    <row r="40">
      <c r="A40" s="2"/>
      <c r="N40" s="7"/>
    </row>
    <row r="41">
      <c r="A41" s="2"/>
      <c r="N41" s="7"/>
    </row>
    <row r="42">
      <c r="A42" s="2"/>
      <c r="N42" s="7"/>
    </row>
    <row r="43">
      <c r="A43" s="2"/>
      <c r="N43" s="7"/>
    </row>
    <row r="44">
      <c r="A44" s="2"/>
      <c r="N44" s="7"/>
    </row>
    <row r="45">
      <c r="A45" s="2"/>
      <c r="N45" s="7"/>
    </row>
    <row r="46">
      <c r="A46" s="2"/>
      <c r="N46" s="7"/>
    </row>
    <row r="47">
      <c r="A47" s="2"/>
      <c r="N47" s="7"/>
    </row>
    <row r="48">
      <c r="A48" s="2"/>
      <c r="N48" s="7"/>
    </row>
    <row r="49">
      <c r="A49" s="2"/>
      <c r="N49" s="7"/>
    </row>
    <row r="50">
      <c r="A50" s="2"/>
      <c r="N50" s="7"/>
    </row>
    <row r="51">
      <c r="A51" s="2"/>
      <c r="N51" s="7"/>
    </row>
    <row r="52">
      <c r="A52" s="2"/>
      <c r="N52" s="7"/>
    </row>
    <row r="53">
      <c r="A53" s="2"/>
      <c r="N53" s="7"/>
    </row>
    <row r="54">
      <c r="A54" s="2"/>
      <c r="N54" s="7"/>
    </row>
    <row r="55">
      <c r="A55" s="2"/>
      <c r="N55" s="7"/>
    </row>
    <row r="56">
      <c r="A56" s="2"/>
      <c r="N56" s="7"/>
    </row>
    <row r="57">
      <c r="A57" s="2"/>
      <c r="N57" s="7"/>
    </row>
    <row r="58">
      <c r="A58" s="2"/>
      <c r="N58" s="7"/>
    </row>
    <row r="59">
      <c r="A59" s="2"/>
      <c r="N59" s="7"/>
    </row>
    <row r="60">
      <c r="A60" s="2"/>
      <c r="N60" s="7"/>
    </row>
    <row r="61">
      <c r="A61" s="2"/>
      <c r="N61" s="7"/>
    </row>
    <row r="62">
      <c r="A62" s="2"/>
      <c r="N62" s="7"/>
    </row>
    <row r="63">
      <c r="A63" s="2"/>
      <c r="N63" s="7"/>
    </row>
    <row r="64">
      <c r="A64" s="2"/>
      <c r="N64" s="7"/>
    </row>
    <row r="65">
      <c r="A65" s="2"/>
      <c r="N65" s="7"/>
    </row>
    <row r="66">
      <c r="A66" s="2"/>
      <c r="N66" s="7"/>
    </row>
    <row r="67">
      <c r="A67" s="2"/>
      <c r="N67" s="7"/>
    </row>
    <row r="68">
      <c r="A68" s="2"/>
      <c r="N68" s="7"/>
    </row>
    <row r="69">
      <c r="A69" s="2"/>
      <c r="N69" s="7"/>
    </row>
    <row r="70">
      <c r="A70" s="2"/>
      <c r="N70" s="7"/>
    </row>
    <row r="71">
      <c r="A71" s="2"/>
      <c r="N71" s="7"/>
    </row>
    <row r="72">
      <c r="A72" s="2"/>
      <c r="N72" s="7"/>
    </row>
    <row r="73">
      <c r="A73" s="2"/>
      <c r="N73" s="7"/>
    </row>
    <row r="74">
      <c r="A74" s="2"/>
      <c r="N74" s="7"/>
    </row>
    <row r="75">
      <c r="A75" s="2"/>
      <c r="N75" s="7"/>
    </row>
    <row r="76">
      <c r="A76" s="2"/>
      <c r="N76" s="7"/>
    </row>
    <row r="77">
      <c r="A77" s="2"/>
      <c r="N77" s="7"/>
    </row>
    <row r="78">
      <c r="A78" s="2"/>
      <c r="N78" s="7"/>
    </row>
    <row r="79">
      <c r="A79" s="2"/>
      <c r="N79" s="7"/>
    </row>
    <row r="80">
      <c r="A80" s="2"/>
      <c r="N80" s="7"/>
    </row>
    <row r="81">
      <c r="A81" s="2"/>
      <c r="N81" s="7"/>
    </row>
    <row r="82">
      <c r="A82" s="2"/>
      <c r="N82" s="7"/>
    </row>
    <row r="83">
      <c r="A83" s="2"/>
      <c r="N83" s="7"/>
    </row>
    <row r="84">
      <c r="A84" s="2"/>
      <c r="N84" s="7"/>
    </row>
    <row r="85">
      <c r="A85" s="2"/>
      <c r="N85" s="7"/>
    </row>
    <row r="86">
      <c r="A86" s="2"/>
      <c r="N86" s="7"/>
    </row>
    <row r="87">
      <c r="A87" s="2"/>
      <c r="N87" s="7"/>
    </row>
    <row r="88">
      <c r="A88" s="2"/>
      <c r="N88" s="7"/>
    </row>
    <row r="89">
      <c r="A89" s="2"/>
      <c r="N89" s="7"/>
    </row>
    <row r="90">
      <c r="A90" s="2"/>
      <c r="N90" s="7"/>
    </row>
    <row r="91">
      <c r="A91" s="2"/>
      <c r="N91" s="7"/>
    </row>
    <row r="92">
      <c r="A92" s="2"/>
      <c r="N92" s="7"/>
    </row>
    <row r="93">
      <c r="A93" s="2"/>
      <c r="N93" s="7"/>
    </row>
    <row r="94">
      <c r="A94" s="2"/>
      <c r="N94" s="7"/>
    </row>
    <row r="95">
      <c r="A95" s="2"/>
      <c r="N95" s="7"/>
    </row>
    <row r="96">
      <c r="A96" s="2"/>
      <c r="N96" s="7"/>
    </row>
    <row r="97">
      <c r="A97" s="2"/>
      <c r="N97" s="7"/>
    </row>
    <row r="98">
      <c r="A98" s="2"/>
      <c r="N98" s="7"/>
    </row>
    <row r="99">
      <c r="A99" s="2"/>
      <c r="N99" s="7"/>
    </row>
    <row r="100">
      <c r="A100" s="2"/>
      <c r="N100" s="7"/>
    </row>
    <row r="101">
      <c r="A101" s="2"/>
      <c r="N101" s="7"/>
    </row>
    <row r="102">
      <c r="A102" s="2"/>
      <c r="N102" s="7"/>
    </row>
    <row r="103">
      <c r="A103" s="2"/>
      <c r="N103" s="7"/>
    </row>
    <row r="104">
      <c r="A104" s="2"/>
      <c r="N104" s="7"/>
    </row>
    <row r="105">
      <c r="A105" s="2"/>
      <c r="N105" s="7"/>
    </row>
    <row r="106">
      <c r="A106" s="2"/>
      <c r="N106" s="7"/>
    </row>
    <row r="107">
      <c r="A107" s="2"/>
      <c r="N107" s="7"/>
    </row>
    <row r="108">
      <c r="A108" s="2"/>
      <c r="N108" s="7"/>
    </row>
    <row r="109">
      <c r="A109" s="2"/>
      <c r="N109" s="7"/>
    </row>
    <row r="110">
      <c r="A110" s="2"/>
      <c r="N110" s="7"/>
    </row>
    <row r="111">
      <c r="A111" s="2"/>
      <c r="N111" s="7"/>
    </row>
    <row r="112">
      <c r="A112" s="2"/>
      <c r="N112" s="7"/>
    </row>
    <row r="113">
      <c r="A113" s="2"/>
      <c r="N113" s="7"/>
    </row>
    <row r="114">
      <c r="A114" s="2"/>
      <c r="N114" s="7"/>
    </row>
    <row r="115">
      <c r="A115" s="2"/>
      <c r="N115" s="7"/>
    </row>
    <row r="116">
      <c r="A116" s="2"/>
      <c r="N116" s="7"/>
    </row>
    <row r="117">
      <c r="A117" s="2"/>
      <c r="N117" s="7"/>
    </row>
    <row r="118">
      <c r="A118" s="2"/>
      <c r="N118" s="7"/>
    </row>
    <row r="119">
      <c r="A119" s="2"/>
      <c r="N119" s="7"/>
    </row>
    <row r="120">
      <c r="A120" s="2"/>
      <c r="N120" s="7"/>
    </row>
    <row r="121">
      <c r="A121" s="2"/>
      <c r="N121" s="7"/>
    </row>
    <row r="122">
      <c r="A122" s="2"/>
      <c r="N122" s="7"/>
    </row>
    <row r="123">
      <c r="A123" s="2"/>
      <c r="N123" s="7"/>
    </row>
    <row r="124">
      <c r="A124" s="2"/>
      <c r="N124" s="7"/>
    </row>
    <row r="125">
      <c r="A125" s="2"/>
      <c r="N125" s="7"/>
    </row>
    <row r="126">
      <c r="A126" s="2"/>
      <c r="N126" s="7"/>
    </row>
    <row r="127">
      <c r="A127" s="2"/>
      <c r="N127" s="7"/>
    </row>
    <row r="128">
      <c r="A128" s="2"/>
      <c r="N128" s="7"/>
    </row>
    <row r="129">
      <c r="A129" s="2"/>
      <c r="N129" s="7"/>
    </row>
    <row r="130">
      <c r="A130" s="2"/>
      <c r="N130" s="7"/>
    </row>
    <row r="131">
      <c r="A131" s="2"/>
      <c r="N131" s="7"/>
    </row>
    <row r="132">
      <c r="A132" s="2"/>
      <c r="N132" s="7"/>
    </row>
    <row r="133">
      <c r="A133" s="2"/>
      <c r="N133" s="7"/>
    </row>
    <row r="134">
      <c r="A134" s="2"/>
      <c r="N134" s="7"/>
    </row>
    <row r="135">
      <c r="A135" s="2"/>
      <c r="N135" s="7"/>
    </row>
    <row r="136">
      <c r="A136" s="2"/>
      <c r="N136" s="7"/>
    </row>
    <row r="137">
      <c r="A137" s="2"/>
      <c r="N137" s="7"/>
    </row>
    <row r="138">
      <c r="A138" s="2"/>
      <c r="N138" s="7"/>
    </row>
    <row r="139">
      <c r="A139" s="2"/>
      <c r="N139" s="7"/>
    </row>
    <row r="140">
      <c r="A140" s="2"/>
      <c r="N140" s="7"/>
    </row>
    <row r="141">
      <c r="A141" s="2"/>
      <c r="N141" s="7"/>
    </row>
    <row r="142">
      <c r="A142" s="2"/>
      <c r="N142" s="7"/>
    </row>
    <row r="143">
      <c r="A143" s="2"/>
      <c r="N143" s="7"/>
    </row>
    <row r="144">
      <c r="A144" s="2"/>
      <c r="N144" s="7"/>
    </row>
    <row r="145">
      <c r="A145" s="2"/>
      <c r="N145" s="7"/>
    </row>
    <row r="146">
      <c r="A146" s="2"/>
      <c r="N146" s="7"/>
    </row>
    <row r="147">
      <c r="A147" s="2"/>
      <c r="N147" s="7"/>
    </row>
    <row r="148">
      <c r="A148" s="2"/>
      <c r="N148" s="7"/>
    </row>
    <row r="149">
      <c r="A149" s="2"/>
      <c r="N149" s="7"/>
    </row>
    <row r="150">
      <c r="A150" s="2"/>
      <c r="N150" s="7"/>
    </row>
    <row r="151">
      <c r="A151" s="2"/>
      <c r="N151" s="7"/>
    </row>
    <row r="152">
      <c r="A152" s="2"/>
      <c r="N152" s="7"/>
    </row>
    <row r="153">
      <c r="A153" s="2"/>
      <c r="N153" s="7"/>
    </row>
    <row r="154">
      <c r="A154" s="2"/>
      <c r="N154" s="7"/>
    </row>
    <row r="155">
      <c r="A155" s="2"/>
      <c r="N155" s="7"/>
    </row>
    <row r="156">
      <c r="A156" s="2"/>
      <c r="N156" s="7"/>
    </row>
    <row r="157">
      <c r="A157" s="2"/>
      <c r="N157" s="7"/>
    </row>
    <row r="158">
      <c r="A158" s="2"/>
      <c r="N158" s="7"/>
    </row>
    <row r="159">
      <c r="A159" s="2"/>
      <c r="N159" s="7"/>
    </row>
    <row r="160">
      <c r="A160" s="2"/>
      <c r="N160" s="7"/>
    </row>
    <row r="161">
      <c r="A161" s="2"/>
      <c r="N161" s="7"/>
    </row>
    <row r="162">
      <c r="A162" s="2"/>
      <c r="N162" s="7"/>
    </row>
    <row r="163">
      <c r="A163" s="2"/>
      <c r="N163" s="7"/>
    </row>
    <row r="164">
      <c r="A164" s="2"/>
      <c r="N164" s="7"/>
    </row>
    <row r="165">
      <c r="A165" s="2"/>
      <c r="N165" s="7"/>
    </row>
    <row r="166">
      <c r="A166" s="2"/>
      <c r="N166" s="7"/>
    </row>
    <row r="167">
      <c r="A167" s="2"/>
      <c r="N167" s="7"/>
    </row>
    <row r="168">
      <c r="A168" s="2"/>
      <c r="N168" s="7"/>
    </row>
    <row r="169">
      <c r="A169" s="2"/>
      <c r="N169" s="7"/>
    </row>
    <row r="170">
      <c r="A170" s="2"/>
      <c r="N170" s="7"/>
    </row>
    <row r="171">
      <c r="A171" s="2"/>
      <c r="N171" s="7"/>
    </row>
    <row r="172">
      <c r="A172" s="2"/>
      <c r="N172" s="7"/>
    </row>
    <row r="173">
      <c r="A173" s="2"/>
      <c r="N173" s="7"/>
    </row>
    <row r="174">
      <c r="A174" s="2"/>
      <c r="N174" s="7"/>
    </row>
    <row r="175">
      <c r="A175" s="2"/>
      <c r="N175" s="7"/>
    </row>
    <row r="176">
      <c r="A176" s="2"/>
      <c r="N176" s="7"/>
    </row>
    <row r="177">
      <c r="A177" s="2"/>
      <c r="N177" s="7"/>
    </row>
    <row r="178">
      <c r="A178" s="2"/>
      <c r="N178" s="7"/>
    </row>
    <row r="179">
      <c r="A179" s="2"/>
      <c r="N179" s="7"/>
    </row>
    <row r="180">
      <c r="A180" s="2"/>
      <c r="N180" s="7"/>
    </row>
    <row r="181">
      <c r="A181" s="2"/>
      <c r="N181" s="7"/>
    </row>
    <row r="182">
      <c r="A182" s="2"/>
      <c r="N182" s="7"/>
    </row>
    <row r="183">
      <c r="A183" s="2"/>
      <c r="N183" s="7"/>
    </row>
    <row r="184">
      <c r="A184" s="2"/>
      <c r="N184" s="7"/>
    </row>
    <row r="185">
      <c r="A185" s="2"/>
      <c r="N185" s="7"/>
    </row>
    <row r="186">
      <c r="A186" s="2"/>
      <c r="N186" s="7"/>
    </row>
    <row r="187">
      <c r="A187" s="2"/>
      <c r="N187" s="7"/>
    </row>
    <row r="188">
      <c r="A188" s="2"/>
      <c r="N188" s="7"/>
    </row>
    <row r="189">
      <c r="A189" s="2"/>
      <c r="N189" s="7"/>
    </row>
    <row r="190">
      <c r="A190" s="2"/>
      <c r="N190" s="7"/>
    </row>
    <row r="191">
      <c r="A191" s="2"/>
      <c r="N191" s="7"/>
    </row>
    <row r="192">
      <c r="A192" s="2"/>
      <c r="N192" s="7"/>
    </row>
    <row r="193">
      <c r="A193" s="2"/>
      <c r="N193" s="7"/>
    </row>
    <row r="194">
      <c r="A194" s="2"/>
      <c r="N194" s="7"/>
    </row>
    <row r="195">
      <c r="A195" s="2"/>
      <c r="N195" s="7"/>
    </row>
    <row r="196">
      <c r="A196" s="2"/>
      <c r="N196" s="7"/>
    </row>
    <row r="197">
      <c r="A197" s="2"/>
      <c r="N197" s="7"/>
    </row>
    <row r="198">
      <c r="A198" s="2"/>
      <c r="N198" s="7"/>
    </row>
    <row r="199">
      <c r="A199" s="2"/>
      <c r="N199" s="7"/>
    </row>
    <row r="200">
      <c r="A200" s="2"/>
      <c r="N200" s="7"/>
    </row>
    <row r="201">
      <c r="A201" s="2"/>
      <c r="N201" s="7"/>
    </row>
    <row r="202">
      <c r="A202" s="2"/>
      <c r="N202" s="7"/>
    </row>
    <row r="203">
      <c r="A203" s="2"/>
      <c r="N203" s="7"/>
    </row>
    <row r="204">
      <c r="A204" s="2"/>
      <c r="N204" s="7"/>
    </row>
    <row r="205">
      <c r="A205" s="2"/>
      <c r="N205" s="7"/>
    </row>
    <row r="206">
      <c r="A206" s="2"/>
      <c r="N206" s="7"/>
    </row>
    <row r="207">
      <c r="A207" s="2"/>
      <c r="N207" s="7"/>
    </row>
    <row r="208">
      <c r="A208" s="2"/>
      <c r="N208" s="7"/>
    </row>
    <row r="209">
      <c r="A209" s="2"/>
      <c r="N209" s="7"/>
    </row>
    <row r="210">
      <c r="A210" s="2"/>
      <c r="N210" s="7"/>
    </row>
    <row r="211">
      <c r="A211" s="2"/>
      <c r="N211" s="7"/>
    </row>
    <row r="212">
      <c r="A212" s="2"/>
      <c r="N212" s="7"/>
    </row>
    <row r="213">
      <c r="A213" s="2"/>
      <c r="N213" s="7"/>
    </row>
    <row r="214">
      <c r="A214" s="2"/>
      <c r="N214" s="7"/>
    </row>
    <row r="215">
      <c r="A215" s="2"/>
      <c r="N215" s="7"/>
    </row>
    <row r="216">
      <c r="A216" s="2"/>
      <c r="N216" s="7"/>
    </row>
    <row r="217">
      <c r="A217" s="2"/>
      <c r="N217" s="7"/>
    </row>
    <row r="218">
      <c r="A218" s="2"/>
      <c r="N218" s="7"/>
    </row>
    <row r="219">
      <c r="A219" s="2"/>
      <c r="N219" s="7"/>
    </row>
    <row r="220">
      <c r="A220" s="2"/>
      <c r="N220" s="7"/>
    </row>
    <row r="221">
      <c r="A221" s="2"/>
      <c r="N221" s="7"/>
    </row>
    <row r="222">
      <c r="A222" s="2"/>
      <c r="N222" s="7"/>
    </row>
    <row r="223">
      <c r="A223" s="2"/>
      <c r="N223" s="7"/>
    </row>
    <row r="224">
      <c r="A224" s="2"/>
      <c r="N224" s="7"/>
    </row>
    <row r="225">
      <c r="A225" s="2"/>
      <c r="N225" s="7"/>
    </row>
    <row r="226">
      <c r="A226" s="2"/>
      <c r="N226" s="7"/>
    </row>
    <row r="227">
      <c r="A227" s="2"/>
      <c r="N227" s="7"/>
    </row>
    <row r="228">
      <c r="A228" s="2"/>
      <c r="N228" s="7"/>
    </row>
    <row r="229">
      <c r="A229" s="2"/>
      <c r="N229" s="7"/>
    </row>
    <row r="230">
      <c r="A230" s="2"/>
      <c r="N230" s="7"/>
    </row>
    <row r="231">
      <c r="A231" s="2"/>
      <c r="N231" s="7"/>
    </row>
    <row r="232">
      <c r="A232" s="2"/>
      <c r="N232" s="7"/>
    </row>
    <row r="233">
      <c r="A233" s="2"/>
      <c r="N233" s="7"/>
    </row>
    <row r="234">
      <c r="A234" s="2"/>
      <c r="N234" s="7"/>
    </row>
    <row r="235">
      <c r="A235" s="2"/>
      <c r="N235" s="7"/>
    </row>
    <row r="236">
      <c r="A236" s="2"/>
      <c r="N236" s="7"/>
    </row>
    <row r="237">
      <c r="A237" s="2"/>
      <c r="N237" s="7"/>
    </row>
    <row r="238">
      <c r="A238" s="2"/>
      <c r="N238" s="7"/>
    </row>
    <row r="239">
      <c r="A239" s="2"/>
      <c r="N239" s="7"/>
    </row>
    <row r="240">
      <c r="A240" s="2"/>
      <c r="N240" s="7"/>
    </row>
    <row r="241">
      <c r="A241" s="2"/>
      <c r="N241" s="7"/>
    </row>
    <row r="242">
      <c r="A242" s="2"/>
      <c r="N242" s="7"/>
    </row>
    <row r="243">
      <c r="A243" s="2"/>
      <c r="N243" s="7"/>
    </row>
    <row r="244">
      <c r="A244" s="2"/>
      <c r="N244" s="7"/>
    </row>
    <row r="245">
      <c r="A245" s="2"/>
      <c r="N245" s="7"/>
    </row>
    <row r="246">
      <c r="A246" s="2"/>
      <c r="N246" s="7"/>
    </row>
    <row r="247">
      <c r="A247" s="2"/>
      <c r="N247" s="7"/>
    </row>
    <row r="248">
      <c r="A248" s="2"/>
      <c r="N248" s="7"/>
    </row>
    <row r="249">
      <c r="A249" s="2"/>
      <c r="N249" s="7"/>
    </row>
    <row r="250">
      <c r="A250" s="2"/>
      <c r="N250" s="7"/>
    </row>
    <row r="251">
      <c r="A251" s="2"/>
      <c r="N251" s="7"/>
    </row>
    <row r="252">
      <c r="A252" s="2"/>
      <c r="N252" s="7"/>
    </row>
    <row r="253">
      <c r="A253" s="2"/>
      <c r="N253" s="7"/>
    </row>
    <row r="254">
      <c r="A254" s="2"/>
      <c r="N254" s="7"/>
    </row>
    <row r="255">
      <c r="A255" s="2"/>
      <c r="N255" s="7"/>
    </row>
    <row r="256">
      <c r="A256" s="2"/>
      <c r="N256" s="7"/>
    </row>
    <row r="257">
      <c r="A257" s="2"/>
      <c r="N257" s="7"/>
    </row>
    <row r="258">
      <c r="A258" s="2"/>
      <c r="N258" s="7"/>
    </row>
    <row r="259">
      <c r="A259" s="2"/>
      <c r="N259" s="7"/>
    </row>
    <row r="260">
      <c r="A260" s="2"/>
      <c r="N260" s="7"/>
    </row>
    <row r="261">
      <c r="A261" s="2"/>
      <c r="N261" s="7"/>
    </row>
    <row r="262">
      <c r="A262" s="2"/>
      <c r="N262" s="7"/>
    </row>
    <row r="263">
      <c r="A263" s="2"/>
      <c r="N263" s="7"/>
    </row>
    <row r="264">
      <c r="A264" s="2"/>
      <c r="N264" s="7"/>
    </row>
    <row r="265">
      <c r="A265" s="2"/>
      <c r="N265" s="7"/>
    </row>
    <row r="266">
      <c r="A266" s="2"/>
      <c r="N266" s="7"/>
    </row>
    <row r="267">
      <c r="A267" s="2"/>
      <c r="N267" s="7"/>
    </row>
    <row r="268">
      <c r="A268" s="2"/>
      <c r="N268" s="7"/>
    </row>
    <row r="269">
      <c r="A269" s="2"/>
      <c r="N269" s="7"/>
    </row>
    <row r="270">
      <c r="A270" s="2"/>
      <c r="N270" s="7"/>
    </row>
    <row r="271">
      <c r="A271" s="2"/>
      <c r="N271" s="7"/>
    </row>
    <row r="272">
      <c r="A272" s="2"/>
      <c r="N272" s="7"/>
    </row>
    <row r="273">
      <c r="A273" s="2"/>
      <c r="N273" s="7"/>
    </row>
    <row r="274">
      <c r="A274" s="2"/>
      <c r="N274" s="7"/>
    </row>
    <row r="275">
      <c r="A275" s="2"/>
      <c r="N275" s="7"/>
    </row>
    <row r="276">
      <c r="A276" s="2"/>
      <c r="N276" s="7"/>
    </row>
    <row r="277">
      <c r="A277" s="2"/>
      <c r="N277" s="7"/>
    </row>
    <row r="278">
      <c r="A278" s="2"/>
      <c r="N278" s="7"/>
    </row>
    <row r="279">
      <c r="A279" s="2"/>
      <c r="N279" s="7"/>
    </row>
    <row r="280">
      <c r="A280" s="2"/>
      <c r="N280" s="7"/>
    </row>
    <row r="281">
      <c r="A281" s="2"/>
      <c r="N281" s="7"/>
    </row>
    <row r="282">
      <c r="A282" s="2"/>
      <c r="N282" s="7"/>
    </row>
    <row r="283">
      <c r="A283" s="2"/>
      <c r="N283" s="7"/>
    </row>
    <row r="284">
      <c r="A284" s="2"/>
      <c r="N284" s="7"/>
    </row>
    <row r="285">
      <c r="A285" s="2"/>
      <c r="N285" s="7"/>
    </row>
    <row r="286">
      <c r="A286" s="2"/>
      <c r="N286" s="7"/>
    </row>
    <row r="287">
      <c r="A287" s="2"/>
      <c r="N287" s="7"/>
    </row>
    <row r="288">
      <c r="A288" s="2"/>
      <c r="N288" s="7"/>
    </row>
    <row r="289">
      <c r="A289" s="2"/>
      <c r="N289" s="7"/>
    </row>
    <row r="290">
      <c r="A290" s="2"/>
      <c r="N290" s="7"/>
    </row>
    <row r="291">
      <c r="A291" s="2"/>
      <c r="N291" s="7"/>
    </row>
    <row r="292">
      <c r="A292" s="2"/>
      <c r="N292" s="7"/>
    </row>
    <row r="293">
      <c r="A293" s="2"/>
      <c r="N293" s="7"/>
    </row>
    <row r="294">
      <c r="A294" s="2"/>
      <c r="N294" s="7"/>
    </row>
    <row r="295">
      <c r="A295" s="2"/>
      <c r="N295" s="7"/>
    </row>
    <row r="296">
      <c r="A296" s="2"/>
      <c r="N296" s="7"/>
    </row>
    <row r="297">
      <c r="A297" s="2"/>
      <c r="N297" s="7"/>
    </row>
    <row r="298">
      <c r="A298" s="2"/>
      <c r="N298" s="7"/>
    </row>
    <row r="299">
      <c r="A299" s="2"/>
      <c r="N299" s="7"/>
    </row>
    <row r="300">
      <c r="A300" s="2"/>
      <c r="N300" s="7"/>
    </row>
    <row r="301">
      <c r="A301" s="2"/>
      <c r="N301" s="7"/>
    </row>
    <row r="302">
      <c r="A302" s="2"/>
      <c r="N302" s="7"/>
    </row>
    <row r="303">
      <c r="A303" s="2"/>
      <c r="N303" s="7"/>
    </row>
    <row r="304">
      <c r="A304" s="2"/>
      <c r="N304" s="7"/>
    </row>
    <row r="305">
      <c r="A305" s="2"/>
      <c r="N305" s="7"/>
    </row>
    <row r="306">
      <c r="A306" s="2"/>
      <c r="N306" s="7"/>
    </row>
    <row r="307">
      <c r="A307" s="2"/>
      <c r="N307" s="7"/>
    </row>
    <row r="308">
      <c r="A308" s="2"/>
      <c r="N308" s="7"/>
    </row>
    <row r="309">
      <c r="A309" s="2"/>
      <c r="N309" s="7"/>
    </row>
    <row r="310">
      <c r="A310" s="2"/>
      <c r="N310" s="7"/>
    </row>
    <row r="311">
      <c r="A311" s="2"/>
      <c r="N311" s="7"/>
    </row>
    <row r="312">
      <c r="A312" s="2"/>
      <c r="N312" s="7"/>
    </row>
    <row r="313">
      <c r="A313" s="2"/>
      <c r="N313" s="7"/>
    </row>
    <row r="314">
      <c r="A314" s="2"/>
      <c r="N314" s="7"/>
    </row>
    <row r="315">
      <c r="A315" s="2"/>
      <c r="N315" s="7"/>
    </row>
    <row r="316">
      <c r="A316" s="2"/>
      <c r="N316" s="7"/>
    </row>
    <row r="317">
      <c r="A317" s="2"/>
      <c r="N317" s="7"/>
    </row>
    <row r="318">
      <c r="A318" s="2"/>
      <c r="N318" s="7"/>
    </row>
    <row r="319">
      <c r="A319" s="2"/>
      <c r="N319" s="7"/>
    </row>
    <row r="320">
      <c r="A320" s="2"/>
      <c r="N320" s="7"/>
    </row>
    <row r="321">
      <c r="A321" s="2"/>
      <c r="N321" s="7"/>
    </row>
    <row r="322">
      <c r="A322" s="2"/>
      <c r="N322" s="7"/>
    </row>
    <row r="323">
      <c r="A323" s="2"/>
      <c r="N323" s="7"/>
    </row>
    <row r="324">
      <c r="A324" s="2"/>
      <c r="N324" s="7"/>
    </row>
    <row r="325">
      <c r="A325" s="2"/>
      <c r="N325" s="7"/>
    </row>
    <row r="326">
      <c r="A326" s="2"/>
      <c r="N326" s="7"/>
    </row>
    <row r="327">
      <c r="A327" s="2"/>
      <c r="N327" s="7"/>
    </row>
    <row r="328">
      <c r="A328" s="2"/>
      <c r="N328" s="7"/>
    </row>
    <row r="329">
      <c r="A329" s="2"/>
      <c r="N329" s="7"/>
    </row>
    <row r="330">
      <c r="A330" s="2"/>
      <c r="N330" s="7"/>
    </row>
    <row r="331">
      <c r="A331" s="2"/>
      <c r="N331" s="7"/>
    </row>
    <row r="332">
      <c r="A332" s="2"/>
      <c r="N332" s="7"/>
    </row>
    <row r="333">
      <c r="A333" s="2"/>
      <c r="N333" s="7"/>
    </row>
    <row r="334">
      <c r="A334" s="2"/>
      <c r="N334" s="7"/>
    </row>
    <row r="335">
      <c r="A335" s="2"/>
      <c r="N335" s="7"/>
    </row>
    <row r="336">
      <c r="A336" s="2"/>
      <c r="N336" s="7"/>
    </row>
    <row r="337">
      <c r="A337" s="2"/>
      <c r="N337" s="7"/>
    </row>
    <row r="338">
      <c r="A338" s="2"/>
      <c r="N338" s="7"/>
    </row>
    <row r="339">
      <c r="A339" s="2"/>
      <c r="N339" s="7"/>
    </row>
    <row r="340">
      <c r="A340" s="2"/>
      <c r="N340" s="7"/>
    </row>
    <row r="341">
      <c r="A341" s="2"/>
      <c r="N341" s="7"/>
    </row>
    <row r="342">
      <c r="A342" s="2"/>
      <c r="N342" s="7"/>
    </row>
    <row r="343">
      <c r="A343" s="2"/>
      <c r="N343" s="7"/>
    </row>
    <row r="344">
      <c r="A344" s="2"/>
      <c r="N344" s="7"/>
    </row>
    <row r="345">
      <c r="A345" s="2"/>
      <c r="N345" s="7"/>
    </row>
    <row r="346">
      <c r="A346" s="2"/>
      <c r="N346" s="7"/>
    </row>
    <row r="347">
      <c r="A347" s="2"/>
      <c r="N347" s="7"/>
    </row>
    <row r="348">
      <c r="A348" s="2"/>
      <c r="N348" s="7"/>
    </row>
    <row r="349">
      <c r="A349" s="2"/>
      <c r="N349" s="7"/>
    </row>
    <row r="350">
      <c r="A350" s="2"/>
      <c r="N350" s="7"/>
    </row>
    <row r="351">
      <c r="A351" s="2"/>
      <c r="N351" s="7"/>
    </row>
    <row r="352">
      <c r="A352" s="2"/>
      <c r="N352" s="7"/>
    </row>
    <row r="353">
      <c r="A353" s="2"/>
      <c r="N353" s="7"/>
    </row>
    <row r="354">
      <c r="A354" s="2"/>
      <c r="N354" s="7"/>
    </row>
    <row r="355">
      <c r="A355" s="2"/>
      <c r="N355" s="7"/>
    </row>
    <row r="356">
      <c r="A356" s="2"/>
      <c r="N356" s="7"/>
    </row>
    <row r="357">
      <c r="A357" s="2"/>
      <c r="N357" s="7"/>
    </row>
    <row r="358">
      <c r="A358" s="2"/>
      <c r="N358" s="7"/>
    </row>
    <row r="359">
      <c r="A359" s="2"/>
      <c r="N359" s="7"/>
    </row>
    <row r="360">
      <c r="A360" s="2"/>
      <c r="N360" s="7"/>
    </row>
    <row r="361">
      <c r="A361" s="2"/>
      <c r="N361" s="7"/>
    </row>
    <row r="362">
      <c r="A362" s="2"/>
      <c r="N362" s="7"/>
    </row>
    <row r="363">
      <c r="A363" s="2"/>
      <c r="N363" s="7"/>
    </row>
    <row r="364">
      <c r="A364" s="2"/>
      <c r="N364" s="7"/>
    </row>
    <row r="365">
      <c r="A365" s="2"/>
      <c r="N365" s="7"/>
    </row>
    <row r="366">
      <c r="A366" s="2"/>
      <c r="N366" s="7"/>
    </row>
    <row r="367">
      <c r="A367" s="2"/>
      <c r="N367" s="7"/>
    </row>
    <row r="368">
      <c r="A368" s="2"/>
      <c r="N368" s="7"/>
    </row>
    <row r="369">
      <c r="A369" s="2"/>
      <c r="N369" s="7"/>
    </row>
    <row r="370">
      <c r="A370" s="2"/>
      <c r="N370" s="7"/>
    </row>
    <row r="371">
      <c r="A371" s="2"/>
      <c r="N371" s="7"/>
    </row>
    <row r="372">
      <c r="A372" s="2"/>
      <c r="N372" s="7"/>
    </row>
    <row r="373">
      <c r="A373" s="2"/>
      <c r="N373" s="7"/>
    </row>
    <row r="374">
      <c r="A374" s="2"/>
      <c r="N374" s="7"/>
    </row>
    <row r="375">
      <c r="A375" s="2"/>
      <c r="N375" s="7"/>
    </row>
    <row r="376">
      <c r="A376" s="2"/>
      <c r="N376" s="7"/>
    </row>
    <row r="377">
      <c r="A377" s="2"/>
      <c r="N377" s="7"/>
    </row>
    <row r="378">
      <c r="A378" s="2"/>
      <c r="N378" s="7"/>
    </row>
    <row r="379">
      <c r="A379" s="2"/>
      <c r="N379" s="7"/>
    </row>
    <row r="380">
      <c r="A380" s="2"/>
      <c r="N380" s="7"/>
    </row>
    <row r="381">
      <c r="A381" s="2"/>
      <c r="N381" s="7"/>
    </row>
    <row r="382">
      <c r="A382" s="2"/>
      <c r="N382" s="7"/>
    </row>
    <row r="383">
      <c r="A383" s="2"/>
      <c r="N383" s="7"/>
    </row>
    <row r="384">
      <c r="A384" s="2"/>
      <c r="N384" s="7"/>
    </row>
    <row r="385">
      <c r="A385" s="2"/>
      <c r="N385" s="7"/>
    </row>
    <row r="386">
      <c r="A386" s="2"/>
      <c r="N386" s="7"/>
    </row>
    <row r="387">
      <c r="A387" s="2"/>
      <c r="N387" s="7"/>
    </row>
    <row r="388">
      <c r="A388" s="2"/>
      <c r="N388" s="7"/>
    </row>
    <row r="389">
      <c r="A389" s="2"/>
      <c r="N389" s="7"/>
    </row>
    <row r="390">
      <c r="A390" s="2"/>
      <c r="N390" s="7"/>
    </row>
    <row r="391">
      <c r="A391" s="2"/>
      <c r="N391" s="7"/>
    </row>
    <row r="392">
      <c r="A392" s="2"/>
      <c r="N392" s="7"/>
    </row>
    <row r="393">
      <c r="A393" s="2"/>
      <c r="N393" s="7"/>
    </row>
    <row r="394">
      <c r="A394" s="2"/>
      <c r="N394" s="7"/>
    </row>
    <row r="395">
      <c r="A395" s="2"/>
      <c r="N395" s="7"/>
    </row>
    <row r="396">
      <c r="A396" s="2"/>
      <c r="N396" s="7"/>
    </row>
    <row r="397">
      <c r="A397" s="2"/>
      <c r="N397" s="7"/>
    </row>
    <row r="398">
      <c r="A398" s="2"/>
      <c r="N398" s="7"/>
    </row>
    <row r="399">
      <c r="A399" s="2"/>
      <c r="N399" s="7"/>
    </row>
    <row r="400">
      <c r="A400" s="2"/>
      <c r="N400" s="7"/>
    </row>
    <row r="401">
      <c r="A401" s="2"/>
      <c r="N401" s="7"/>
    </row>
    <row r="402">
      <c r="A402" s="2"/>
      <c r="N402" s="7"/>
    </row>
    <row r="403">
      <c r="A403" s="2"/>
      <c r="N403" s="7"/>
    </row>
    <row r="404">
      <c r="A404" s="2"/>
      <c r="N404" s="7"/>
    </row>
    <row r="405">
      <c r="A405" s="2"/>
      <c r="N405" s="7"/>
    </row>
    <row r="406">
      <c r="A406" s="2"/>
      <c r="N406" s="7"/>
    </row>
    <row r="407">
      <c r="A407" s="2"/>
      <c r="N407" s="7"/>
    </row>
    <row r="408">
      <c r="A408" s="2"/>
      <c r="N408" s="7"/>
    </row>
    <row r="409">
      <c r="A409" s="2"/>
      <c r="N409" s="7"/>
    </row>
    <row r="410">
      <c r="A410" s="2"/>
      <c r="N410" s="7"/>
    </row>
    <row r="411">
      <c r="A411" s="2"/>
      <c r="N411" s="7"/>
    </row>
    <row r="412">
      <c r="A412" s="2"/>
      <c r="N412" s="7"/>
    </row>
    <row r="413">
      <c r="A413" s="2"/>
      <c r="N413" s="7"/>
    </row>
    <row r="414">
      <c r="A414" s="2"/>
      <c r="N414" s="7"/>
    </row>
    <row r="415">
      <c r="A415" s="2"/>
      <c r="N415" s="7"/>
    </row>
    <row r="416">
      <c r="A416" s="2"/>
      <c r="N416" s="7"/>
    </row>
    <row r="417">
      <c r="A417" s="2"/>
      <c r="N417" s="7"/>
    </row>
    <row r="418">
      <c r="A418" s="2"/>
      <c r="N418" s="7"/>
    </row>
    <row r="419">
      <c r="A419" s="2"/>
      <c r="N419" s="7"/>
    </row>
    <row r="420">
      <c r="A420" s="2"/>
      <c r="N420" s="7"/>
    </row>
    <row r="421">
      <c r="A421" s="2"/>
      <c r="N421" s="7"/>
    </row>
    <row r="422">
      <c r="A422" s="2"/>
      <c r="N422" s="7"/>
    </row>
    <row r="423">
      <c r="A423" s="2"/>
      <c r="N423" s="7"/>
    </row>
    <row r="424">
      <c r="A424" s="2"/>
      <c r="N424" s="7"/>
    </row>
    <row r="425">
      <c r="A425" s="2"/>
      <c r="N425" s="7"/>
    </row>
    <row r="426">
      <c r="A426" s="2"/>
      <c r="N426" s="7"/>
    </row>
    <row r="427">
      <c r="A427" s="2"/>
      <c r="N427" s="7"/>
    </row>
    <row r="428">
      <c r="A428" s="2"/>
      <c r="N428" s="7"/>
    </row>
    <row r="429">
      <c r="A429" s="2"/>
      <c r="N429" s="7"/>
    </row>
    <row r="430">
      <c r="A430" s="2"/>
      <c r="N430" s="7"/>
    </row>
    <row r="431">
      <c r="A431" s="2"/>
      <c r="N431" s="7"/>
    </row>
    <row r="432">
      <c r="A432" s="2"/>
      <c r="N432" s="7"/>
    </row>
    <row r="433">
      <c r="A433" s="2"/>
      <c r="N433" s="7"/>
    </row>
    <row r="434">
      <c r="A434" s="2"/>
      <c r="N434" s="7"/>
    </row>
    <row r="435">
      <c r="A435" s="2"/>
      <c r="N435" s="7"/>
    </row>
    <row r="436">
      <c r="A436" s="2"/>
      <c r="N436" s="7"/>
    </row>
    <row r="437">
      <c r="A437" s="2"/>
      <c r="N437" s="7"/>
    </row>
    <row r="438">
      <c r="A438" s="2"/>
      <c r="N438" s="7"/>
    </row>
    <row r="439">
      <c r="A439" s="2"/>
      <c r="N439" s="7"/>
    </row>
    <row r="440">
      <c r="A440" s="2"/>
      <c r="N440" s="7"/>
    </row>
    <row r="441">
      <c r="A441" s="2"/>
      <c r="N441" s="7"/>
    </row>
    <row r="442">
      <c r="A442" s="2"/>
      <c r="N442" s="7"/>
    </row>
    <row r="443">
      <c r="A443" s="2"/>
      <c r="N443" s="7"/>
    </row>
    <row r="444">
      <c r="A444" s="2"/>
      <c r="N444" s="7"/>
    </row>
    <row r="445">
      <c r="A445" s="2"/>
      <c r="N445" s="7"/>
    </row>
    <row r="446">
      <c r="A446" s="2"/>
      <c r="N446" s="7"/>
    </row>
    <row r="447">
      <c r="A447" s="2"/>
      <c r="N447" s="7"/>
    </row>
    <row r="448">
      <c r="A448" s="2"/>
      <c r="N448" s="7"/>
    </row>
    <row r="449">
      <c r="A449" s="2"/>
      <c r="N449" s="7"/>
    </row>
    <row r="450">
      <c r="A450" s="2"/>
      <c r="N450" s="7"/>
    </row>
    <row r="451">
      <c r="A451" s="2"/>
      <c r="N451" s="7"/>
    </row>
    <row r="452">
      <c r="A452" s="2"/>
      <c r="N452" s="7"/>
    </row>
    <row r="453">
      <c r="A453" s="2"/>
      <c r="N453" s="7"/>
    </row>
    <row r="454">
      <c r="A454" s="2"/>
      <c r="N454" s="7"/>
    </row>
    <row r="455">
      <c r="A455" s="2"/>
      <c r="N455" s="7"/>
    </row>
    <row r="456">
      <c r="A456" s="2"/>
      <c r="N456" s="7"/>
    </row>
    <row r="457">
      <c r="A457" s="2"/>
      <c r="N457" s="7"/>
    </row>
    <row r="458">
      <c r="A458" s="2"/>
      <c r="N458" s="7"/>
    </row>
    <row r="459">
      <c r="A459" s="2"/>
      <c r="N459" s="7"/>
    </row>
    <row r="460">
      <c r="A460" s="2"/>
      <c r="N460" s="7"/>
    </row>
    <row r="461">
      <c r="A461" s="2"/>
      <c r="N461" s="7"/>
    </row>
    <row r="462">
      <c r="A462" s="2"/>
      <c r="N462" s="7"/>
    </row>
    <row r="463">
      <c r="A463" s="2"/>
      <c r="N463" s="7"/>
    </row>
    <row r="464">
      <c r="A464" s="2"/>
      <c r="N464" s="7"/>
    </row>
    <row r="465">
      <c r="A465" s="2"/>
      <c r="N465" s="7"/>
    </row>
    <row r="466">
      <c r="A466" s="2"/>
      <c r="N466" s="7"/>
    </row>
    <row r="467">
      <c r="A467" s="2"/>
      <c r="N467" s="7"/>
    </row>
    <row r="468">
      <c r="A468" s="2"/>
      <c r="N468" s="7"/>
    </row>
    <row r="469">
      <c r="A469" s="2"/>
      <c r="N469" s="7"/>
    </row>
    <row r="470">
      <c r="A470" s="2"/>
      <c r="N470" s="7"/>
    </row>
    <row r="471">
      <c r="A471" s="2"/>
      <c r="N471" s="7"/>
    </row>
    <row r="472">
      <c r="A472" s="2"/>
      <c r="N472" s="7"/>
    </row>
    <row r="473">
      <c r="A473" s="2"/>
      <c r="N473" s="7"/>
    </row>
    <row r="474">
      <c r="A474" s="2"/>
      <c r="N474" s="7"/>
    </row>
    <row r="475">
      <c r="A475" s="2"/>
      <c r="N475" s="7"/>
    </row>
    <row r="476">
      <c r="A476" s="2"/>
      <c r="N476" s="7"/>
    </row>
    <row r="477">
      <c r="A477" s="2"/>
      <c r="N477" s="7"/>
    </row>
    <row r="478">
      <c r="A478" s="2"/>
      <c r="N478" s="7"/>
    </row>
    <row r="479">
      <c r="A479" s="2"/>
      <c r="N479" s="7"/>
    </row>
    <row r="480">
      <c r="A480" s="2"/>
      <c r="N480" s="7"/>
    </row>
    <row r="481">
      <c r="A481" s="2"/>
      <c r="N481" s="7"/>
    </row>
    <row r="482">
      <c r="A482" s="2"/>
      <c r="N482" s="7"/>
    </row>
    <row r="483">
      <c r="A483" s="2"/>
      <c r="N483" s="7"/>
    </row>
    <row r="484">
      <c r="A484" s="2"/>
      <c r="N484" s="7"/>
    </row>
    <row r="485">
      <c r="A485" s="2"/>
      <c r="N485" s="7"/>
    </row>
    <row r="486">
      <c r="A486" s="2"/>
      <c r="N486" s="7"/>
    </row>
    <row r="487">
      <c r="A487" s="2"/>
      <c r="N487" s="7"/>
    </row>
    <row r="488">
      <c r="A488" s="2"/>
      <c r="N488" s="7"/>
    </row>
    <row r="489">
      <c r="A489" s="2"/>
      <c r="N489" s="7"/>
    </row>
    <row r="490">
      <c r="A490" s="2"/>
      <c r="N490" s="7"/>
    </row>
    <row r="491">
      <c r="A491" s="2"/>
      <c r="N491" s="7"/>
    </row>
    <row r="492">
      <c r="A492" s="2"/>
      <c r="N492" s="7"/>
    </row>
    <row r="493">
      <c r="A493" s="2"/>
      <c r="N493" s="7"/>
    </row>
    <row r="494">
      <c r="A494" s="2"/>
      <c r="N494" s="7"/>
    </row>
    <row r="495">
      <c r="A495" s="2"/>
      <c r="N495" s="7"/>
    </row>
    <row r="496">
      <c r="A496" s="2"/>
      <c r="N496" s="7"/>
    </row>
    <row r="497">
      <c r="A497" s="2"/>
      <c r="N497" s="7"/>
    </row>
    <row r="498">
      <c r="A498" s="2"/>
      <c r="N498" s="7"/>
    </row>
    <row r="499">
      <c r="A499" s="2"/>
      <c r="N499" s="7"/>
    </row>
    <row r="500">
      <c r="A500" s="2"/>
      <c r="N500" s="7"/>
    </row>
    <row r="501">
      <c r="A501" s="2"/>
      <c r="N501" s="7"/>
    </row>
    <row r="502">
      <c r="A502" s="2"/>
      <c r="N502" s="7"/>
    </row>
    <row r="503">
      <c r="A503" s="2"/>
      <c r="N503" s="7"/>
    </row>
    <row r="504">
      <c r="A504" s="2"/>
      <c r="N504" s="7"/>
    </row>
    <row r="505">
      <c r="A505" s="2"/>
      <c r="N505" s="7"/>
    </row>
    <row r="506">
      <c r="A506" s="2"/>
      <c r="N506" s="7"/>
    </row>
    <row r="507">
      <c r="A507" s="2"/>
      <c r="N507" s="7"/>
    </row>
    <row r="508">
      <c r="A508" s="2"/>
      <c r="N508" s="7"/>
    </row>
    <row r="509">
      <c r="A509" s="2"/>
      <c r="N509" s="7"/>
    </row>
    <row r="510">
      <c r="A510" s="2"/>
      <c r="N510" s="7"/>
    </row>
    <row r="511">
      <c r="A511" s="2"/>
      <c r="N511" s="7"/>
    </row>
    <row r="512">
      <c r="A512" s="2"/>
      <c r="N512" s="7"/>
    </row>
    <row r="513">
      <c r="A513" s="2"/>
      <c r="N513" s="7"/>
    </row>
    <row r="514">
      <c r="A514" s="2"/>
      <c r="N514" s="7"/>
    </row>
    <row r="515">
      <c r="A515" s="2"/>
      <c r="N515" s="7"/>
    </row>
    <row r="516">
      <c r="A516" s="2"/>
      <c r="N516" s="7"/>
    </row>
    <row r="517">
      <c r="A517" s="2"/>
      <c r="N517" s="7"/>
    </row>
    <row r="518">
      <c r="A518" s="2"/>
      <c r="N518" s="7"/>
    </row>
    <row r="519">
      <c r="A519" s="2"/>
      <c r="N519" s="7"/>
    </row>
    <row r="520">
      <c r="A520" s="2"/>
      <c r="N520" s="7"/>
    </row>
    <row r="521">
      <c r="A521" s="2"/>
      <c r="N521" s="7"/>
    </row>
    <row r="522">
      <c r="A522" s="2"/>
      <c r="N522" s="7"/>
    </row>
    <row r="523">
      <c r="A523" s="2"/>
      <c r="N523" s="7"/>
    </row>
    <row r="524">
      <c r="A524" s="2"/>
      <c r="N524" s="7"/>
    </row>
    <row r="525">
      <c r="A525" s="2"/>
      <c r="N525" s="7"/>
    </row>
    <row r="526">
      <c r="A526" s="2"/>
      <c r="N526" s="7"/>
    </row>
    <row r="527">
      <c r="A527" s="2"/>
      <c r="N527" s="7"/>
    </row>
    <row r="528">
      <c r="A528" s="2"/>
      <c r="N528" s="7"/>
    </row>
    <row r="529">
      <c r="A529" s="2"/>
      <c r="N529" s="7"/>
    </row>
    <row r="530">
      <c r="A530" s="2"/>
      <c r="N530" s="7"/>
    </row>
    <row r="531">
      <c r="A531" s="2"/>
      <c r="N531" s="7"/>
    </row>
    <row r="532">
      <c r="A532" s="2"/>
      <c r="N532" s="7"/>
    </row>
    <row r="533">
      <c r="A533" s="2"/>
      <c r="N533" s="7"/>
    </row>
    <row r="534">
      <c r="A534" s="2"/>
      <c r="N534" s="7"/>
    </row>
    <row r="535">
      <c r="A535" s="2"/>
      <c r="N535" s="7"/>
    </row>
    <row r="536">
      <c r="A536" s="2"/>
      <c r="N536" s="7"/>
    </row>
    <row r="537">
      <c r="A537" s="2"/>
      <c r="N537" s="7"/>
    </row>
    <row r="538">
      <c r="A538" s="2"/>
      <c r="N538" s="7"/>
    </row>
    <row r="539">
      <c r="A539" s="2"/>
      <c r="N539" s="7"/>
    </row>
    <row r="540">
      <c r="A540" s="2"/>
      <c r="N540" s="7"/>
    </row>
    <row r="541">
      <c r="A541" s="2"/>
      <c r="N541" s="7"/>
    </row>
    <row r="542">
      <c r="A542" s="2"/>
      <c r="N542" s="7"/>
    </row>
    <row r="543">
      <c r="A543" s="2"/>
      <c r="N543" s="7"/>
    </row>
    <row r="544">
      <c r="A544" s="2"/>
      <c r="N544" s="7"/>
    </row>
    <row r="545">
      <c r="A545" s="2"/>
      <c r="N545" s="7"/>
    </row>
    <row r="546">
      <c r="A546" s="2"/>
      <c r="N546" s="7"/>
    </row>
    <row r="547">
      <c r="A547" s="2"/>
      <c r="N547" s="7"/>
    </row>
    <row r="548">
      <c r="A548" s="2"/>
      <c r="N548" s="7"/>
    </row>
    <row r="549">
      <c r="A549" s="2"/>
      <c r="N549" s="7"/>
    </row>
    <row r="550">
      <c r="A550" s="2"/>
      <c r="N550" s="7"/>
    </row>
    <row r="551">
      <c r="A551" s="2"/>
      <c r="N551" s="7"/>
    </row>
    <row r="552">
      <c r="A552" s="2"/>
      <c r="N552" s="7"/>
    </row>
    <row r="553">
      <c r="A553" s="2"/>
      <c r="N553" s="7"/>
    </row>
    <row r="554">
      <c r="A554" s="2"/>
      <c r="N554" s="7"/>
    </row>
    <row r="555">
      <c r="A555" s="2"/>
      <c r="N555" s="7"/>
    </row>
    <row r="556">
      <c r="A556" s="2"/>
      <c r="N556" s="7"/>
    </row>
    <row r="557">
      <c r="A557" s="2"/>
      <c r="N557" s="7"/>
    </row>
    <row r="558">
      <c r="A558" s="2"/>
      <c r="N558" s="7"/>
    </row>
    <row r="559">
      <c r="A559" s="2"/>
      <c r="N559" s="7"/>
    </row>
    <row r="560">
      <c r="A560" s="2"/>
      <c r="N560" s="7"/>
    </row>
    <row r="561">
      <c r="A561" s="2"/>
      <c r="N561" s="7"/>
    </row>
    <row r="562">
      <c r="A562" s="2"/>
      <c r="N562" s="7"/>
    </row>
    <row r="563">
      <c r="A563" s="2"/>
      <c r="N563" s="7"/>
    </row>
    <row r="564">
      <c r="A564" s="2"/>
      <c r="N564" s="7"/>
    </row>
    <row r="565">
      <c r="A565" s="2"/>
      <c r="N565" s="7"/>
    </row>
    <row r="566">
      <c r="A566" s="2"/>
      <c r="N566" s="7"/>
    </row>
    <row r="567">
      <c r="A567" s="2"/>
      <c r="N567" s="7"/>
    </row>
    <row r="568">
      <c r="A568" s="2"/>
      <c r="N568" s="7"/>
    </row>
    <row r="569">
      <c r="A569" s="2"/>
      <c r="N569" s="7"/>
    </row>
    <row r="570">
      <c r="A570" s="2"/>
      <c r="N570" s="7"/>
    </row>
    <row r="571">
      <c r="A571" s="2"/>
      <c r="N571" s="7"/>
    </row>
    <row r="572">
      <c r="A572" s="2"/>
      <c r="N572" s="7"/>
    </row>
    <row r="573">
      <c r="A573" s="2"/>
      <c r="N573" s="7"/>
    </row>
    <row r="574">
      <c r="A574" s="2"/>
      <c r="N574" s="7"/>
    </row>
    <row r="575">
      <c r="A575" s="2"/>
      <c r="N575" s="7"/>
    </row>
    <row r="576">
      <c r="A576" s="2"/>
      <c r="N576" s="7"/>
    </row>
    <row r="577">
      <c r="A577" s="2"/>
      <c r="N577" s="7"/>
    </row>
    <row r="578">
      <c r="A578" s="2"/>
      <c r="N578" s="7"/>
    </row>
    <row r="579">
      <c r="A579" s="2"/>
      <c r="N579" s="7"/>
    </row>
    <row r="580">
      <c r="A580" s="2"/>
      <c r="N580" s="7"/>
    </row>
    <row r="581">
      <c r="A581" s="2"/>
      <c r="N581" s="7"/>
    </row>
    <row r="582">
      <c r="A582" s="2"/>
      <c r="N582" s="7"/>
    </row>
    <row r="583">
      <c r="A583" s="2"/>
      <c r="N583" s="7"/>
    </row>
    <row r="584">
      <c r="A584" s="2"/>
      <c r="N584" s="7"/>
    </row>
    <row r="585">
      <c r="A585" s="2"/>
      <c r="N585" s="7"/>
    </row>
    <row r="586">
      <c r="A586" s="2"/>
      <c r="N586" s="7"/>
    </row>
    <row r="587">
      <c r="A587" s="2"/>
      <c r="N587" s="7"/>
    </row>
    <row r="588">
      <c r="A588" s="2"/>
      <c r="N588" s="7"/>
    </row>
    <row r="589">
      <c r="A589" s="2"/>
      <c r="N589" s="7"/>
    </row>
    <row r="590">
      <c r="A590" s="2"/>
      <c r="N590" s="7"/>
    </row>
    <row r="591">
      <c r="A591" s="2"/>
      <c r="N591" s="7"/>
    </row>
    <row r="592">
      <c r="A592" s="2"/>
      <c r="N592" s="7"/>
    </row>
    <row r="593">
      <c r="A593" s="2"/>
      <c r="N593" s="7"/>
    </row>
    <row r="594">
      <c r="A594" s="2"/>
      <c r="N594" s="7"/>
    </row>
    <row r="595">
      <c r="A595" s="2"/>
      <c r="N595" s="7"/>
    </row>
    <row r="596">
      <c r="A596" s="2"/>
      <c r="N596" s="7"/>
    </row>
    <row r="597">
      <c r="A597" s="2"/>
      <c r="N597" s="7"/>
    </row>
    <row r="598">
      <c r="A598" s="2"/>
      <c r="N598" s="7"/>
    </row>
    <row r="599">
      <c r="A599" s="2"/>
      <c r="N599" s="7"/>
    </row>
    <row r="600">
      <c r="A600" s="2"/>
      <c r="N600" s="7"/>
    </row>
    <row r="601">
      <c r="A601" s="2"/>
      <c r="N601" s="7"/>
    </row>
    <row r="602">
      <c r="A602" s="2"/>
      <c r="N602" s="7"/>
    </row>
    <row r="603">
      <c r="A603" s="2"/>
      <c r="N603" s="7"/>
    </row>
    <row r="604">
      <c r="A604" s="2"/>
      <c r="N604" s="7"/>
    </row>
    <row r="605">
      <c r="A605" s="2"/>
      <c r="N605" s="7"/>
    </row>
    <row r="606">
      <c r="A606" s="2"/>
      <c r="N606" s="7"/>
    </row>
    <row r="607">
      <c r="A607" s="2"/>
      <c r="N607" s="7"/>
    </row>
    <row r="608">
      <c r="A608" s="2"/>
      <c r="N608" s="7"/>
    </row>
    <row r="609">
      <c r="A609" s="2"/>
      <c r="N609" s="7"/>
    </row>
    <row r="610">
      <c r="A610" s="2"/>
      <c r="N610" s="7"/>
    </row>
    <row r="611">
      <c r="A611" s="2"/>
      <c r="N611" s="7"/>
    </row>
    <row r="612">
      <c r="A612" s="2"/>
      <c r="N612" s="7"/>
    </row>
    <row r="613">
      <c r="A613" s="2"/>
      <c r="N613" s="7"/>
    </row>
    <row r="614">
      <c r="A614" s="2"/>
      <c r="N614" s="7"/>
    </row>
    <row r="615">
      <c r="A615" s="2"/>
      <c r="N615" s="7"/>
    </row>
    <row r="616">
      <c r="A616" s="2"/>
      <c r="N616" s="7"/>
    </row>
    <row r="617">
      <c r="A617" s="2"/>
      <c r="N617" s="7"/>
    </row>
    <row r="618">
      <c r="A618" s="2"/>
      <c r="N618" s="7"/>
    </row>
    <row r="619">
      <c r="A619" s="2"/>
      <c r="N619" s="7"/>
    </row>
    <row r="620">
      <c r="A620" s="2"/>
      <c r="N620" s="7"/>
    </row>
    <row r="621">
      <c r="A621" s="2"/>
      <c r="N621" s="7"/>
    </row>
    <row r="622">
      <c r="A622" s="2"/>
      <c r="N622" s="7"/>
    </row>
    <row r="623">
      <c r="A623" s="2"/>
      <c r="N623" s="7"/>
    </row>
    <row r="624">
      <c r="A624" s="2"/>
      <c r="N624" s="7"/>
    </row>
    <row r="625">
      <c r="A625" s="2"/>
      <c r="N625" s="7"/>
    </row>
    <row r="626">
      <c r="A626" s="2"/>
      <c r="N626" s="7"/>
    </row>
    <row r="627">
      <c r="A627" s="2"/>
      <c r="N627" s="7"/>
    </row>
    <row r="628">
      <c r="A628" s="2"/>
      <c r="N628" s="7"/>
    </row>
    <row r="629">
      <c r="A629" s="2"/>
      <c r="N629" s="7"/>
    </row>
    <row r="630">
      <c r="A630" s="2"/>
      <c r="N630" s="7"/>
    </row>
    <row r="631">
      <c r="A631" s="2"/>
      <c r="N631" s="7"/>
    </row>
    <row r="632">
      <c r="A632" s="2"/>
      <c r="N632" s="7"/>
    </row>
    <row r="633">
      <c r="A633" s="2"/>
      <c r="N633" s="7"/>
    </row>
    <row r="634">
      <c r="A634" s="2"/>
      <c r="N634" s="7"/>
    </row>
    <row r="635">
      <c r="A635" s="2"/>
      <c r="N635" s="7"/>
    </row>
    <row r="636">
      <c r="A636" s="2"/>
      <c r="N636" s="7"/>
    </row>
    <row r="637">
      <c r="A637" s="2"/>
      <c r="N637" s="7"/>
    </row>
    <row r="638">
      <c r="A638" s="2"/>
      <c r="N638" s="7"/>
    </row>
    <row r="639">
      <c r="A639" s="2"/>
      <c r="N639" s="7"/>
    </row>
    <row r="640">
      <c r="A640" s="2"/>
      <c r="N640" s="7"/>
    </row>
    <row r="641">
      <c r="A641" s="2"/>
      <c r="N641" s="7"/>
    </row>
    <row r="642">
      <c r="A642" s="2"/>
      <c r="N642" s="7"/>
    </row>
    <row r="643">
      <c r="A643" s="2"/>
      <c r="N643" s="7"/>
    </row>
    <row r="644">
      <c r="A644" s="2"/>
      <c r="N644" s="7"/>
    </row>
    <row r="645">
      <c r="A645" s="2"/>
      <c r="N645" s="7"/>
    </row>
    <row r="646">
      <c r="A646" s="2"/>
      <c r="N646" s="7"/>
    </row>
    <row r="647">
      <c r="A647" s="2"/>
      <c r="N647" s="7"/>
    </row>
    <row r="648">
      <c r="A648" s="2"/>
      <c r="N648" s="7"/>
    </row>
    <row r="649">
      <c r="A649" s="2"/>
      <c r="N649" s="7"/>
    </row>
    <row r="650">
      <c r="A650" s="2"/>
      <c r="N650" s="7"/>
    </row>
    <row r="651">
      <c r="A651" s="2"/>
      <c r="N651" s="7"/>
    </row>
    <row r="652">
      <c r="A652" s="2"/>
      <c r="N652" s="7"/>
    </row>
    <row r="653">
      <c r="A653" s="2"/>
      <c r="N653" s="7"/>
    </row>
    <row r="654">
      <c r="A654" s="2"/>
      <c r="N654" s="7"/>
    </row>
    <row r="655">
      <c r="A655" s="2"/>
      <c r="N655" s="7"/>
    </row>
    <row r="656">
      <c r="A656" s="2"/>
      <c r="N656" s="7"/>
    </row>
    <row r="657">
      <c r="A657" s="2"/>
      <c r="N657" s="7"/>
    </row>
    <row r="658">
      <c r="A658" s="2"/>
      <c r="N658" s="7"/>
    </row>
    <row r="659">
      <c r="A659" s="2"/>
      <c r="N659" s="7"/>
    </row>
    <row r="660">
      <c r="A660" s="2"/>
      <c r="N660" s="7"/>
    </row>
    <row r="661">
      <c r="A661" s="2"/>
      <c r="N661" s="7"/>
    </row>
    <row r="662">
      <c r="A662" s="2"/>
      <c r="N662" s="7"/>
    </row>
    <row r="663">
      <c r="A663" s="2"/>
      <c r="N663" s="7"/>
    </row>
    <row r="664">
      <c r="A664" s="2"/>
      <c r="N664" s="7"/>
    </row>
    <row r="665">
      <c r="A665" s="2"/>
      <c r="N665" s="7"/>
    </row>
    <row r="666">
      <c r="A666" s="2"/>
      <c r="N666" s="7"/>
    </row>
    <row r="667">
      <c r="A667" s="2"/>
      <c r="N667" s="7"/>
    </row>
    <row r="668">
      <c r="A668" s="2"/>
      <c r="N668" s="7"/>
    </row>
    <row r="669">
      <c r="A669" s="2"/>
      <c r="N669" s="7"/>
    </row>
    <row r="670">
      <c r="A670" s="2"/>
      <c r="N670" s="7"/>
    </row>
    <row r="671">
      <c r="A671" s="2"/>
      <c r="N671" s="7"/>
    </row>
    <row r="672">
      <c r="A672" s="2"/>
      <c r="N672" s="7"/>
    </row>
    <row r="673">
      <c r="A673" s="2"/>
      <c r="N673" s="7"/>
    </row>
    <row r="674">
      <c r="A674" s="2"/>
      <c r="N674" s="7"/>
    </row>
    <row r="675">
      <c r="A675" s="2"/>
      <c r="N675" s="7"/>
    </row>
    <row r="676">
      <c r="A676" s="2"/>
      <c r="N676" s="7"/>
    </row>
    <row r="677">
      <c r="A677" s="2"/>
      <c r="N677" s="7"/>
    </row>
    <row r="678">
      <c r="A678" s="2"/>
      <c r="N678" s="7"/>
    </row>
    <row r="679">
      <c r="A679" s="2"/>
      <c r="N679" s="7"/>
    </row>
    <row r="680">
      <c r="A680" s="2"/>
      <c r="N680" s="7"/>
    </row>
    <row r="681">
      <c r="A681" s="2"/>
      <c r="N681" s="7"/>
    </row>
    <row r="682">
      <c r="A682" s="2"/>
      <c r="N682" s="7"/>
    </row>
    <row r="683">
      <c r="A683" s="2"/>
      <c r="N683" s="7"/>
    </row>
    <row r="684">
      <c r="A684" s="2"/>
      <c r="N684" s="7"/>
    </row>
    <row r="685">
      <c r="A685" s="2"/>
      <c r="N685" s="7"/>
    </row>
    <row r="686">
      <c r="A686" s="2"/>
      <c r="N686" s="7"/>
    </row>
    <row r="687">
      <c r="A687" s="2"/>
      <c r="N687" s="7"/>
    </row>
    <row r="688">
      <c r="A688" s="2"/>
      <c r="N688" s="7"/>
    </row>
    <row r="689">
      <c r="A689" s="2"/>
      <c r="N689" s="7"/>
    </row>
    <row r="690">
      <c r="A690" s="2"/>
      <c r="N690" s="7"/>
    </row>
    <row r="691">
      <c r="A691" s="2"/>
      <c r="N691" s="7"/>
    </row>
    <row r="692">
      <c r="A692" s="2"/>
      <c r="N692" s="7"/>
    </row>
    <row r="693">
      <c r="A693" s="2"/>
      <c r="N693" s="7"/>
    </row>
    <row r="694">
      <c r="A694" s="2"/>
      <c r="N694" s="7"/>
    </row>
    <row r="695">
      <c r="A695" s="2"/>
      <c r="N695" s="7"/>
    </row>
    <row r="696">
      <c r="A696" s="2"/>
      <c r="N696" s="7"/>
    </row>
    <row r="697">
      <c r="A697" s="2"/>
      <c r="N697" s="7"/>
    </row>
    <row r="698">
      <c r="A698" s="2"/>
      <c r="N698" s="7"/>
    </row>
    <row r="699">
      <c r="A699" s="2"/>
      <c r="N699" s="7"/>
    </row>
    <row r="700">
      <c r="A700" s="2"/>
      <c r="N700" s="7"/>
    </row>
    <row r="701">
      <c r="A701" s="2"/>
      <c r="N701" s="7"/>
    </row>
    <row r="702">
      <c r="A702" s="2"/>
      <c r="N702" s="7"/>
    </row>
    <row r="703">
      <c r="A703" s="2"/>
      <c r="N703" s="7"/>
    </row>
    <row r="704">
      <c r="A704" s="2"/>
      <c r="N704" s="7"/>
    </row>
    <row r="705">
      <c r="A705" s="2"/>
      <c r="N705" s="7"/>
    </row>
    <row r="706">
      <c r="A706" s="2"/>
      <c r="N706" s="7"/>
    </row>
    <row r="707">
      <c r="A707" s="2"/>
      <c r="N707" s="7"/>
    </row>
    <row r="708">
      <c r="A708" s="2"/>
      <c r="N708" s="7"/>
    </row>
    <row r="709">
      <c r="A709" s="2"/>
      <c r="N709" s="7"/>
    </row>
    <row r="710">
      <c r="A710" s="2"/>
      <c r="N710" s="7"/>
    </row>
    <row r="711">
      <c r="A711" s="2"/>
      <c r="N711" s="7"/>
    </row>
    <row r="712">
      <c r="A712" s="2"/>
      <c r="N712" s="7"/>
    </row>
    <row r="713">
      <c r="A713" s="2"/>
      <c r="N713" s="7"/>
    </row>
    <row r="714">
      <c r="A714" s="2"/>
      <c r="N714" s="7"/>
    </row>
    <row r="715">
      <c r="A715" s="2"/>
      <c r="N715" s="7"/>
    </row>
    <row r="716">
      <c r="A716" s="2"/>
      <c r="N716" s="7"/>
    </row>
    <row r="717">
      <c r="A717" s="2"/>
      <c r="N717" s="7"/>
    </row>
    <row r="718">
      <c r="A718" s="2"/>
      <c r="N718" s="7"/>
    </row>
    <row r="719">
      <c r="A719" s="2"/>
      <c r="N719" s="7"/>
    </row>
    <row r="720">
      <c r="A720" s="2"/>
      <c r="N720" s="7"/>
    </row>
    <row r="721">
      <c r="A721" s="2"/>
      <c r="N721" s="7"/>
    </row>
    <row r="722">
      <c r="A722" s="2"/>
      <c r="N722" s="7"/>
    </row>
    <row r="723">
      <c r="A723" s="2"/>
      <c r="N723" s="7"/>
    </row>
    <row r="724">
      <c r="A724" s="2"/>
      <c r="N724" s="7"/>
    </row>
    <row r="725">
      <c r="A725" s="2"/>
      <c r="N725" s="7"/>
    </row>
    <row r="726">
      <c r="A726" s="2"/>
      <c r="N726" s="7"/>
    </row>
    <row r="727">
      <c r="A727" s="2"/>
      <c r="N727" s="7"/>
    </row>
    <row r="728">
      <c r="A728" s="2"/>
      <c r="N728" s="7"/>
    </row>
    <row r="729">
      <c r="A729" s="2"/>
      <c r="N729" s="7"/>
    </row>
    <row r="730">
      <c r="A730" s="2"/>
      <c r="N730" s="7"/>
    </row>
    <row r="731">
      <c r="A731" s="2"/>
      <c r="N731" s="7"/>
    </row>
    <row r="732">
      <c r="A732" s="2"/>
      <c r="N732" s="7"/>
    </row>
    <row r="733">
      <c r="A733" s="2"/>
      <c r="N733" s="7"/>
    </row>
    <row r="734">
      <c r="A734" s="2"/>
      <c r="N734" s="7"/>
    </row>
    <row r="735">
      <c r="A735" s="2"/>
      <c r="N735" s="7"/>
    </row>
    <row r="736">
      <c r="A736" s="2"/>
      <c r="N736" s="7"/>
    </row>
    <row r="737">
      <c r="A737" s="2"/>
      <c r="N737" s="7"/>
    </row>
    <row r="738">
      <c r="A738" s="2"/>
      <c r="N738" s="7"/>
    </row>
    <row r="739">
      <c r="A739" s="2"/>
      <c r="N739" s="7"/>
    </row>
    <row r="740">
      <c r="A740" s="2"/>
      <c r="N740" s="7"/>
    </row>
    <row r="741">
      <c r="A741" s="2"/>
      <c r="N741" s="7"/>
    </row>
    <row r="742">
      <c r="A742" s="2"/>
      <c r="N742" s="7"/>
    </row>
    <row r="743">
      <c r="A743" s="2"/>
      <c r="N743" s="7"/>
    </row>
    <row r="744">
      <c r="A744" s="2"/>
      <c r="N744" s="7"/>
    </row>
    <row r="745">
      <c r="A745" s="2"/>
      <c r="N745" s="7"/>
    </row>
    <row r="746">
      <c r="A746" s="2"/>
      <c r="N746" s="7"/>
    </row>
    <row r="747">
      <c r="A747" s="2"/>
      <c r="N747" s="7"/>
    </row>
    <row r="748">
      <c r="A748" s="2"/>
      <c r="N748" s="7"/>
    </row>
    <row r="749">
      <c r="A749" s="2"/>
      <c r="N749" s="7"/>
    </row>
    <row r="750">
      <c r="A750" s="2"/>
      <c r="N750" s="7"/>
    </row>
    <row r="751">
      <c r="A751" s="2"/>
      <c r="N751" s="7"/>
    </row>
    <row r="752">
      <c r="A752" s="2"/>
      <c r="N752" s="7"/>
    </row>
    <row r="753">
      <c r="A753" s="2"/>
      <c r="N753" s="7"/>
    </row>
    <row r="754">
      <c r="A754" s="2"/>
      <c r="N754" s="7"/>
    </row>
    <row r="755">
      <c r="A755" s="2"/>
      <c r="N755" s="7"/>
    </row>
    <row r="756">
      <c r="A756" s="2"/>
      <c r="N756" s="7"/>
    </row>
    <row r="757">
      <c r="A757" s="2"/>
      <c r="N757" s="7"/>
    </row>
    <row r="758">
      <c r="A758" s="2"/>
      <c r="N758" s="7"/>
    </row>
    <row r="759">
      <c r="A759" s="2"/>
      <c r="N759" s="7"/>
    </row>
    <row r="760">
      <c r="A760" s="2"/>
      <c r="N760" s="7"/>
    </row>
    <row r="761">
      <c r="A761" s="2"/>
      <c r="N761" s="7"/>
    </row>
    <row r="762">
      <c r="A762" s="2"/>
      <c r="N762" s="7"/>
    </row>
    <row r="763">
      <c r="A763" s="2"/>
      <c r="N763" s="7"/>
    </row>
    <row r="764">
      <c r="A764" s="2"/>
      <c r="N764" s="7"/>
    </row>
    <row r="765">
      <c r="A765" s="2"/>
      <c r="N765" s="7"/>
    </row>
    <row r="766">
      <c r="A766" s="2"/>
      <c r="N766" s="7"/>
    </row>
    <row r="767">
      <c r="A767" s="2"/>
      <c r="N767" s="7"/>
    </row>
    <row r="768">
      <c r="A768" s="2"/>
      <c r="N768" s="7"/>
    </row>
    <row r="769">
      <c r="A769" s="2"/>
      <c r="N769" s="7"/>
    </row>
    <row r="770">
      <c r="A770" s="2"/>
      <c r="N770" s="7"/>
    </row>
    <row r="771">
      <c r="A771" s="2"/>
      <c r="N771" s="7"/>
    </row>
    <row r="772">
      <c r="A772" s="2"/>
      <c r="N772" s="7"/>
    </row>
    <row r="773">
      <c r="A773" s="2"/>
      <c r="N773" s="7"/>
    </row>
    <row r="774">
      <c r="A774" s="2"/>
      <c r="N774" s="7"/>
    </row>
    <row r="775">
      <c r="A775" s="2"/>
      <c r="N775" s="7"/>
    </row>
    <row r="776">
      <c r="A776" s="2"/>
      <c r="N776" s="7"/>
    </row>
    <row r="777">
      <c r="A777" s="2"/>
      <c r="N777" s="7"/>
    </row>
    <row r="778">
      <c r="A778" s="2"/>
      <c r="N778" s="7"/>
    </row>
    <row r="779">
      <c r="A779" s="2"/>
      <c r="N779" s="7"/>
    </row>
    <row r="780">
      <c r="A780" s="2"/>
      <c r="N780" s="7"/>
    </row>
    <row r="781">
      <c r="A781" s="2"/>
      <c r="N781" s="7"/>
    </row>
    <row r="782">
      <c r="A782" s="2"/>
      <c r="N782" s="7"/>
    </row>
    <row r="783">
      <c r="A783" s="2"/>
      <c r="N783" s="7"/>
    </row>
    <row r="784">
      <c r="A784" s="2"/>
      <c r="N784" s="7"/>
    </row>
    <row r="785">
      <c r="A785" s="2"/>
      <c r="N785" s="7"/>
    </row>
    <row r="786">
      <c r="A786" s="2"/>
      <c r="N786" s="7"/>
    </row>
    <row r="787">
      <c r="A787" s="2"/>
      <c r="N787" s="7"/>
    </row>
    <row r="788">
      <c r="A788" s="2"/>
      <c r="N788" s="7"/>
    </row>
    <row r="789">
      <c r="A789" s="2"/>
      <c r="N789" s="7"/>
    </row>
    <row r="790">
      <c r="A790" s="2"/>
      <c r="N790" s="7"/>
    </row>
    <row r="791">
      <c r="A791" s="2"/>
      <c r="N791" s="7"/>
    </row>
    <row r="792">
      <c r="A792" s="2"/>
      <c r="N792" s="7"/>
    </row>
    <row r="793">
      <c r="A793" s="2"/>
      <c r="N793" s="7"/>
    </row>
    <row r="794">
      <c r="A794" s="2"/>
      <c r="N794" s="7"/>
    </row>
    <row r="795">
      <c r="A795" s="2"/>
      <c r="N795" s="7"/>
    </row>
    <row r="796">
      <c r="A796" s="2"/>
      <c r="N796" s="7"/>
    </row>
    <row r="797">
      <c r="A797" s="2"/>
      <c r="N797" s="7"/>
    </row>
    <row r="798">
      <c r="A798" s="2"/>
      <c r="N798" s="7"/>
    </row>
    <row r="799">
      <c r="A799" s="2"/>
      <c r="N799" s="7"/>
    </row>
    <row r="800">
      <c r="A800" s="2"/>
      <c r="N800" s="7"/>
    </row>
    <row r="801">
      <c r="A801" s="2"/>
      <c r="N801" s="7"/>
    </row>
    <row r="802">
      <c r="A802" s="2"/>
      <c r="N802" s="7"/>
    </row>
    <row r="803">
      <c r="A803" s="2"/>
      <c r="N803" s="7"/>
    </row>
    <row r="804">
      <c r="A804" s="2"/>
      <c r="N804" s="7"/>
    </row>
    <row r="805">
      <c r="A805" s="2"/>
      <c r="N805" s="7"/>
    </row>
    <row r="806">
      <c r="A806" s="2"/>
      <c r="N806" s="7"/>
    </row>
    <row r="807">
      <c r="A807" s="2"/>
      <c r="N807" s="7"/>
    </row>
    <row r="808">
      <c r="A808" s="2"/>
      <c r="N808" s="7"/>
    </row>
    <row r="809">
      <c r="A809" s="2"/>
      <c r="N809" s="7"/>
    </row>
    <row r="810">
      <c r="A810" s="2"/>
      <c r="N810" s="7"/>
    </row>
    <row r="811">
      <c r="A811" s="2"/>
      <c r="N811" s="7"/>
    </row>
    <row r="812">
      <c r="A812" s="2"/>
      <c r="N812" s="7"/>
    </row>
    <row r="813">
      <c r="A813" s="2"/>
      <c r="N813" s="7"/>
    </row>
    <row r="814">
      <c r="A814" s="2"/>
      <c r="N814" s="7"/>
    </row>
    <row r="815">
      <c r="A815" s="2"/>
      <c r="N815" s="7"/>
    </row>
    <row r="816">
      <c r="A816" s="2"/>
      <c r="N816" s="7"/>
    </row>
    <row r="817">
      <c r="A817" s="2"/>
      <c r="N817" s="7"/>
    </row>
    <row r="818">
      <c r="A818" s="2"/>
      <c r="N818" s="7"/>
    </row>
    <row r="819">
      <c r="A819" s="2"/>
      <c r="N819" s="7"/>
    </row>
    <row r="820">
      <c r="A820" s="2"/>
      <c r="N820" s="7"/>
    </row>
    <row r="821">
      <c r="A821" s="2"/>
      <c r="N821" s="7"/>
    </row>
    <row r="822">
      <c r="A822" s="2"/>
      <c r="N822" s="7"/>
    </row>
    <row r="823">
      <c r="A823" s="2"/>
      <c r="N823" s="7"/>
    </row>
    <row r="824">
      <c r="A824" s="2"/>
      <c r="N824" s="7"/>
    </row>
    <row r="825">
      <c r="A825" s="2"/>
      <c r="N825" s="7"/>
    </row>
    <row r="826">
      <c r="A826" s="2"/>
      <c r="N826" s="7"/>
    </row>
    <row r="827">
      <c r="A827" s="2"/>
      <c r="N827" s="7"/>
    </row>
    <row r="828">
      <c r="A828" s="2"/>
      <c r="N828" s="7"/>
    </row>
    <row r="829">
      <c r="A829" s="2"/>
      <c r="N829" s="7"/>
    </row>
    <row r="830">
      <c r="A830" s="2"/>
      <c r="N830" s="7"/>
    </row>
    <row r="831">
      <c r="A831" s="2"/>
      <c r="N831" s="7"/>
    </row>
    <row r="832">
      <c r="A832" s="2"/>
      <c r="N832" s="7"/>
    </row>
    <row r="833">
      <c r="A833" s="2"/>
      <c r="N833" s="7"/>
    </row>
    <row r="834">
      <c r="A834" s="2"/>
      <c r="N834" s="7"/>
    </row>
    <row r="835">
      <c r="A835" s="2"/>
      <c r="N835" s="7"/>
    </row>
    <row r="836">
      <c r="A836" s="2"/>
      <c r="N836" s="7"/>
    </row>
    <row r="837">
      <c r="A837" s="2"/>
      <c r="N837" s="7"/>
    </row>
    <row r="838">
      <c r="A838" s="2"/>
      <c r="N838" s="7"/>
    </row>
    <row r="839">
      <c r="A839" s="2"/>
      <c r="N839" s="7"/>
    </row>
    <row r="840">
      <c r="A840" s="2"/>
      <c r="N840" s="7"/>
    </row>
    <row r="841">
      <c r="A841" s="2"/>
      <c r="N841" s="7"/>
    </row>
    <row r="842">
      <c r="A842" s="2"/>
      <c r="N842" s="7"/>
    </row>
    <row r="843">
      <c r="A843" s="2"/>
      <c r="N843" s="7"/>
    </row>
    <row r="844">
      <c r="A844" s="2"/>
      <c r="N844" s="7"/>
    </row>
    <row r="845">
      <c r="A845" s="2"/>
      <c r="N845" s="7"/>
    </row>
    <row r="846">
      <c r="A846" s="2"/>
      <c r="N846" s="7"/>
    </row>
    <row r="847">
      <c r="A847" s="2"/>
      <c r="N847" s="7"/>
    </row>
    <row r="848">
      <c r="A848" s="2"/>
      <c r="N848" s="7"/>
    </row>
    <row r="849">
      <c r="A849" s="2"/>
      <c r="N849" s="7"/>
    </row>
    <row r="850">
      <c r="A850" s="2"/>
      <c r="N850" s="7"/>
    </row>
    <row r="851">
      <c r="A851" s="2"/>
      <c r="N851" s="7"/>
    </row>
    <row r="852">
      <c r="A852" s="2"/>
      <c r="N852" s="7"/>
    </row>
    <row r="853">
      <c r="A853" s="2"/>
      <c r="N853" s="7"/>
    </row>
    <row r="854">
      <c r="A854" s="2"/>
      <c r="N854" s="7"/>
    </row>
    <row r="855">
      <c r="A855" s="2"/>
      <c r="N855" s="7"/>
    </row>
    <row r="856">
      <c r="A856" s="2"/>
      <c r="N856" s="7"/>
    </row>
    <row r="857">
      <c r="A857" s="2"/>
      <c r="N857" s="7"/>
    </row>
    <row r="858">
      <c r="A858" s="2"/>
      <c r="N858" s="7"/>
    </row>
    <row r="859">
      <c r="A859" s="2"/>
      <c r="N859" s="7"/>
    </row>
    <row r="860">
      <c r="A860" s="2"/>
      <c r="N860" s="7"/>
    </row>
    <row r="861">
      <c r="A861" s="2"/>
      <c r="N861" s="7"/>
    </row>
    <row r="862">
      <c r="A862" s="2"/>
      <c r="N862" s="7"/>
    </row>
    <row r="863">
      <c r="A863" s="2"/>
      <c r="N863" s="7"/>
    </row>
    <row r="864">
      <c r="A864" s="2"/>
      <c r="N864" s="7"/>
    </row>
    <row r="865">
      <c r="A865" s="2"/>
      <c r="N865" s="7"/>
    </row>
    <row r="866">
      <c r="A866" s="2"/>
      <c r="N866" s="7"/>
    </row>
    <row r="867">
      <c r="A867" s="2"/>
      <c r="N867" s="7"/>
    </row>
    <row r="868">
      <c r="A868" s="2"/>
      <c r="N868" s="7"/>
    </row>
    <row r="869">
      <c r="A869" s="2"/>
      <c r="N869" s="7"/>
    </row>
    <row r="870">
      <c r="A870" s="2"/>
      <c r="N870" s="7"/>
    </row>
    <row r="871">
      <c r="A871" s="2"/>
      <c r="N871" s="7"/>
    </row>
    <row r="872">
      <c r="A872" s="2"/>
      <c r="N872" s="7"/>
    </row>
    <row r="873">
      <c r="A873" s="2"/>
      <c r="N873" s="7"/>
    </row>
    <row r="874">
      <c r="A874" s="2"/>
      <c r="N874" s="7"/>
    </row>
    <row r="875">
      <c r="A875" s="2"/>
      <c r="N875" s="7"/>
    </row>
    <row r="876">
      <c r="A876" s="2"/>
      <c r="N876" s="7"/>
    </row>
    <row r="877">
      <c r="A877" s="2"/>
      <c r="N877" s="7"/>
    </row>
    <row r="878">
      <c r="A878" s="2"/>
      <c r="N878" s="7"/>
    </row>
    <row r="879">
      <c r="A879" s="2"/>
      <c r="N879" s="7"/>
    </row>
    <row r="880">
      <c r="A880" s="2"/>
      <c r="N880" s="7"/>
    </row>
    <row r="881">
      <c r="A881" s="2"/>
      <c r="N881" s="7"/>
    </row>
    <row r="882">
      <c r="A882" s="2"/>
      <c r="N882" s="7"/>
    </row>
    <row r="883">
      <c r="A883" s="2"/>
      <c r="N883" s="7"/>
    </row>
    <row r="884">
      <c r="A884" s="2"/>
      <c r="N884" s="7"/>
    </row>
    <row r="885">
      <c r="A885" s="2"/>
      <c r="N885" s="7"/>
    </row>
    <row r="886">
      <c r="A886" s="2"/>
      <c r="N886" s="7"/>
    </row>
    <row r="887">
      <c r="A887" s="2"/>
      <c r="N887" s="7"/>
    </row>
    <row r="888">
      <c r="A888" s="2"/>
      <c r="N888" s="7"/>
    </row>
    <row r="889">
      <c r="A889" s="2"/>
      <c r="N889" s="7"/>
    </row>
    <row r="890">
      <c r="A890" s="2"/>
      <c r="N890" s="7"/>
    </row>
    <row r="891">
      <c r="A891" s="2"/>
      <c r="N891" s="7"/>
    </row>
    <row r="892">
      <c r="A892" s="2"/>
      <c r="N892" s="7"/>
    </row>
    <row r="893">
      <c r="A893" s="2"/>
      <c r="N893" s="7"/>
    </row>
    <row r="894">
      <c r="A894" s="2"/>
      <c r="N894" s="7"/>
    </row>
    <row r="895">
      <c r="A895" s="2"/>
      <c r="N895" s="7"/>
    </row>
    <row r="896">
      <c r="A896" s="2"/>
      <c r="N896" s="7"/>
    </row>
    <row r="897">
      <c r="A897" s="2"/>
      <c r="N897" s="7"/>
    </row>
    <row r="898">
      <c r="A898" s="2"/>
      <c r="N898" s="7"/>
    </row>
    <row r="899">
      <c r="A899" s="2"/>
      <c r="N899" s="7"/>
    </row>
    <row r="900">
      <c r="A900" s="2"/>
      <c r="N900" s="7"/>
    </row>
    <row r="901">
      <c r="A901" s="2"/>
      <c r="N901" s="7"/>
    </row>
    <row r="902">
      <c r="A902" s="2"/>
      <c r="N902" s="7"/>
    </row>
    <row r="903">
      <c r="A903" s="2"/>
      <c r="N903" s="7"/>
    </row>
    <row r="904">
      <c r="A904" s="2"/>
      <c r="N904" s="7"/>
    </row>
    <row r="905">
      <c r="A905" s="2"/>
      <c r="N905" s="7"/>
    </row>
    <row r="906">
      <c r="A906" s="2"/>
      <c r="N906" s="7"/>
    </row>
    <row r="907">
      <c r="A907" s="2"/>
      <c r="N907" s="7"/>
    </row>
    <row r="908">
      <c r="A908" s="2"/>
      <c r="N908" s="7"/>
    </row>
    <row r="909">
      <c r="A909" s="2"/>
      <c r="N909" s="7"/>
    </row>
    <row r="910">
      <c r="A910" s="2"/>
      <c r="N910" s="7"/>
    </row>
    <row r="911">
      <c r="A911" s="2"/>
      <c r="N911" s="7"/>
    </row>
    <row r="912">
      <c r="A912" s="2"/>
      <c r="N912" s="7"/>
    </row>
    <row r="913">
      <c r="A913" s="2"/>
      <c r="N913" s="7"/>
    </row>
    <row r="914">
      <c r="A914" s="2"/>
      <c r="N914" s="7"/>
    </row>
    <row r="915">
      <c r="A915" s="2"/>
      <c r="N915" s="7"/>
    </row>
    <row r="916">
      <c r="A916" s="2"/>
      <c r="N916" s="7"/>
    </row>
    <row r="917">
      <c r="A917" s="2"/>
      <c r="N917" s="7"/>
    </row>
    <row r="918">
      <c r="A918" s="2"/>
      <c r="N918" s="7"/>
    </row>
    <row r="919">
      <c r="A919" s="2"/>
      <c r="N919" s="7"/>
    </row>
    <row r="920">
      <c r="A920" s="2"/>
      <c r="N920" s="7"/>
    </row>
    <row r="921">
      <c r="A921" s="2"/>
      <c r="N921" s="7"/>
    </row>
    <row r="922">
      <c r="A922" s="2"/>
      <c r="N922" s="7"/>
    </row>
    <row r="923">
      <c r="A923" s="2"/>
      <c r="N923" s="7"/>
    </row>
    <row r="924">
      <c r="A924" s="2"/>
      <c r="N924" s="7"/>
    </row>
    <row r="925">
      <c r="A925" s="2"/>
      <c r="N925" s="7"/>
    </row>
    <row r="926">
      <c r="A926" s="2"/>
      <c r="N926" s="7"/>
    </row>
    <row r="927">
      <c r="A927" s="2"/>
      <c r="N927" s="7"/>
    </row>
    <row r="928">
      <c r="A928" s="2"/>
      <c r="N928" s="7"/>
    </row>
    <row r="929">
      <c r="A929" s="2"/>
      <c r="N929" s="7"/>
    </row>
    <row r="930">
      <c r="A930" s="2"/>
      <c r="N930" s="7"/>
    </row>
    <row r="931">
      <c r="A931" s="2"/>
      <c r="N931" s="7"/>
    </row>
    <row r="932">
      <c r="A932" s="2"/>
      <c r="N932" s="7"/>
    </row>
    <row r="933">
      <c r="A933" s="2"/>
      <c r="N933" s="7"/>
    </row>
    <row r="934">
      <c r="A934" s="2"/>
      <c r="N934" s="7"/>
    </row>
    <row r="935">
      <c r="A935" s="2"/>
      <c r="N935" s="7"/>
    </row>
    <row r="936">
      <c r="A936" s="2"/>
      <c r="N936" s="7"/>
    </row>
    <row r="937">
      <c r="A937" s="2"/>
      <c r="N937" s="7"/>
    </row>
    <row r="938">
      <c r="A938" s="2"/>
      <c r="N938" s="7"/>
    </row>
    <row r="939">
      <c r="A939" s="2"/>
      <c r="N939" s="7"/>
    </row>
    <row r="940">
      <c r="A940" s="2"/>
      <c r="N940" s="7"/>
    </row>
    <row r="941">
      <c r="A941" s="2"/>
      <c r="N941" s="7"/>
    </row>
    <row r="942">
      <c r="A942" s="2"/>
      <c r="N942" s="7"/>
    </row>
    <row r="943">
      <c r="A943" s="2"/>
      <c r="N943" s="7"/>
    </row>
    <row r="944">
      <c r="A944" s="2"/>
      <c r="N944" s="7"/>
    </row>
    <row r="945">
      <c r="A945" s="2"/>
      <c r="N945" s="7"/>
    </row>
    <row r="946">
      <c r="A946" s="2"/>
      <c r="N946" s="7"/>
    </row>
    <row r="947">
      <c r="A947" s="2"/>
      <c r="N947" s="7"/>
    </row>
    <row r="948">
      <c r="A948" s="2"/>
      <c r="N948" s="7"/>
    </row>
    <row r="949">
      <c r="A949" s="2"/>
      <c r="N949" s="7"/>
    </row>
    <row r="950">
      <c r="A950" s="2"/>
      <c r="N950" s="7"/>
    </row>
    <row r="951">
      <c r="A951" s="2"/>
      <c r="N951" s="7"/>
    </row>
    <row r="952">
      <c r="A952" s="2"/>
      <c r="N952" s="7"/>
    </row>
    <row r="953">
      <c r="A953" s="2"/>
      <c r="N953" s="7"/>
    </row>
    <row r="954">
      <c r="A954" s="2"/>
      <c r="N954" s="7"/>
    </row>
    <row r="955">
      <c r="A955" s="2"/>
      <c r="N955" s="7"/>
    </row>
    <row r="956">
      <c r="A956" s="2"/>
      <c r="N956" s="7"/>
    </row>
    <row r="957">
      <c r="A957" s="2"/>
      <c r="N957" s="7"/>
    </row>
    <row r="958">
      <c r="A958" s="2"/>
      <c r="N958" s="7"/>
    </row>
    <row r="959">
      <c r="A959" s="2"/>
      <c r="N959" s="7"/>
    </row>
    <row r="960">
      <c r="A960" s="2"/>
      <c r="N960" s="7"/>
    </row>
    <row r="961">
      <c r="A961" s="2"/>
      <c r="N961" s="7"/>
    </row>
    <row r="962">
      <c r="A962" s="2"/>
      <c r="N962" s="7"/>
    </row>
    <row r="963">
      <c r="A963" s="2"/>
      <c r="N963" s="7"/>
    </row>
    <row r="964">
      <c r="A964" s="2"/>
      <c r="N964" s="7"/>
    </row>
    <row r="965">
      <c r="A965" s="2"/>
      <c r="N965" s="7"/>
    </row>
    <row r="966">
      <c r="A966" s="2"/>
      <c r="N966" s="7"/>
    </row>
    <row r="967">
      <c r="A967" s="2"/>
      <c r="N967" s="7"/>
    </row>
    <row r="968">
      <c r="A968" s="2"/>
      <c r="N968" s="7"/>
    </row>
    <row r="969">
      <c r="A969" s="2"/>
      <c r="N969" s="7"/>
    </row>
    <row r="970">
      <c r="A970" s="2"/>
      <c r="N970" s="7"/>
    </row>
    <row r="971">
      <c r="A971" s="2"/>
      <c r="N971" s="7"/>
    </row>
    <row r="972">
      <c r="A972" s="2"/>
      <c r="N972" s="7"/>
    </row>
    <row r="973">
      <c r="A973" s="2"/>
      <c r="N973" s="7"/>
    </row>
    <row r="974">
      <c r="A974" s="2"/>
      <c r="N974" s="7"/>
    </row>
    <row r="975">
      <c r="A975" s="2"/>
      <c r="N975" s="7"/>
    </row>
    <row r="976">
      <c r="A976" s="2"/>
      <c r="N976" s="7"/>
    </row>
    <row r="977">
      <c r="A977" s="2"/>
      <c r="N977" s="7"/>
    </row>
    <row r="978">
      <c r="A978" s="2"/>
      <c r="N978" s="7"/>
    </row>
    <row r="979">
      <c r="A979" s="2"/>
      <c r="N979" s="7"/>
    </row>
    <row r="980">
      <c r="A980" s="2"/>
      <c r="N980" s="7"/>
    </row>
    <row r="981">
      <c r="A981" s="2"/>
      <c r="N981" s="7"/>
    </row>
    <row r="982">
      <c r="A982" s="2"/>
      <c r="N982" s="7"/>
    </row>
    <row r="983">
      <c r="A983" s="2"/>
      <c r="N983" s="7"/>
    </row>
    <row r="984">
      <c r="A984" s="2"/>
      <c r="N984" s="7"/>
    </row>
    <row r="985">
      <c r="A985" s="2"/>
      <c r="N985" s="7"/>
    </row>
    <row r="986">
      <c r="A986" s="2"/>
      <c r="N986" s="7"/>
    </row>
    <row r="987">
      <c r="A987" s="2"/>
      <c r="N987" s="7"/>
    </row>
    <row r="988">
      <c r="A988" s="2"/>
      <c r="N988" s="7"/>
    </row>
    <row r="989">
      <c r="A989" s="2"/>
      <c r="N989" s="7"/>
    </row>
    <row r="990">
      <c r="A990" s="2"/>
      <c r="N990" s="7"/>
    </row>
    <row r="991">
      <c r="A991" s="2"/>
      <c r="N991" s="7"/>
    </row>
    <row r="992">
      <c r="A992" s="2"/>
      <c r="N992" s="7"/>
    </row>
    <row r="993">
      <c r="A993" s="2"/>
      <c r="N993" s="7"/>
    </row>
    <row r="994">
      <c r="A994" s="2"/>
      <c r="N994" s="7"/>
    </row>
    <row r="995">
      <c r="A995" s="2"/>
      <c r="N995" s="7"/>
    </row>
    <row r="996">
      <c r="A996" s="2"/>
      <c r="N996" s="7"/>
    </row>
    <row r="997">
      <c r="A997" s="2"/>
      <c r="N997" s="7"/>
    </row>
    <row r="998">
      <c r="A998" s="2"/>
      <c r="N998" s="7"/>
    </row>
    <row r="999">
      <c r="A999" s="2"/>
      <c r="N999" s="7"/>
    </row>
    <row r="1000">
      <c r="A1000" s="2"/>
      <c r="N1000" s="7"/>
    </row>
  </sheetData>
  <conditionalFormatting sqref="F2:K9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9.63"/>
  </cols>
  <sheetData>
    <row r="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8" t="s">
        <v>193</v>
      </c>
      <c r="H1" s="1" t="s">
        <v>194</v>
      </c>
      <c r="I1" s="9" t="s">
        <v>184</v>
      </c>
      <c r="J1" s="2"/>
    </row>
    <row r="2">
      <c r="A2" s="3">
        <v>3.0</v>
      </c>
      <c r="B2" s="3" t="s">
        <v>195</v>
      </c>
      <c r="C2" s="4">
        <f>+30.62</f>
        <v>30.62</v>
      </c>
      <c r="D2" s="3">
        <v>125.2</v>
      </c>
      <c r="E2" s="3">
        <v>94.6</v>
      </c>
      <c r="F2" s="4">
        <f t="shared" ref="F2:F363" si="1">D2^10/(D2^10+E2^10)</f>
        <v>0.9428134565</v>
      </c>
      <c r="G2" s="10">
        <f t="shared" ref="G2:G363" si="2">(0.8267556358-0.8267556358*F2)/(0.8267556358+F2-2*0.8267556358*F2)</f>
        <v>0.2244805903</v>
      </c>
      <c r="H2" s="3">
        <v>29.0</v>
      </c>
      <c r="I2" s="11">
        <v>10.5849332061</v>
      </c>
    </row>
    <row r="3">
      <c r="A3" s="3">
        <v>1.0</v>
      </c>
      <c r="B3" s="3" t="s">
        <v>196</v>
      </c>
      <c r="C3" s="4">
        <f>+36.43</f>
        <v>36.43</v>
      </c>
      <c r="D3" s="3">
        <v>127.5</v>
      </c>
      <c r="E3" s="3">
        <v>91.1</v>
      </c>
      <c r="F3" s="4">
        <f t="shared" si="1"/>
        <v>0.9664821794</v>
      </c>
      <c r="G3" s="10">
        <f t="shared" si="2"/>
        <v>0.1419996954</v>
      </c>
      <c r="H3" s="3">
        <v>31.0</v>
      </c>
      <c r="I3" s="11">
        <v>10.3832722988</v>
      </c>
    </row>
    <row r="4">
      <c r="A4" s="3">
        <v>2.0</v>
      </c>
      <c r="B4" s="3" t="s">
        <v>197</v>
      </c>
      <c r="C4" s="4">
        <f>+31.17</f>
        <v>31.17</v>
      </c>
      <c r="D4" s="3">
        <v>118.9</v>
      </c>
      <c r="E4" s="3">
        <v>87.7</v>
      </c>
      <c r="F4" s="4">
        <f t="shared" si="1"/>
        <v>0.9545058073</v>
      </c>
      <c r="G4" s="10">
        <f t="shared" si="2"/>
        <v>0.1853061642</v>
      </c>
      <c r="H4" s="3">
        <v>30.0</v>
      </c>
      <c r="I4" s="11">
        <v>9.7900153413</v>
      </c>
    </row>
    <row r="5">
      <c r="A5" s="3">
        <v>9.0</v>
      </c>
      <c r="B5" s="3" t="s">
        <v>198</v>
      </c>
      <c r="C5" s="4">
        <f>+26.19</f>
        <v>26.19</v>
      </c>
      <c r="D5" s="3">
        <v>119.7</v>
      </c>
      <c r="E5" s="3">
        <v>93.5</v>
      </c>
      <c r="F5" s="4">
        <f t="shared" si="1"/>
        <v>0.922031304</v>
      </c>
      <c r="G5" s="10">
        <f t="shared" si="2"/>
        <v>0.2875187129</v>
      </c>
      <c r="H5" s="3">
        <v>27.0</v>
      </c>
      <c r="I5" s="11">
        <v>6.83447996069999</v>
      </c>
    </row>
    <row r="6">
      <c r="A6" s="3">
        <v>8.0</v>
      </c>
      <c r="B6" s="3" t="s">
        <v>199</v>
      </c>
      <c r="C6" s="4">
        <f>+26.47</f>
        <v>26.47</v>
      </c>
      <c r="D6" s="3">
        <v>113.9</v>
      </c>
      <c r="E6" s="3">
        <v>87.5</v>
      </c>
      <c r="F6" s="4">
        <f t="shared" si="1"/>
        <v>0.9331940347</v>
      </c>
      <c r="G6" s="10">
        <f t="shared" si="2"/>
        <v>0.2546403474</v>
      </c>
      <c r="H6" s="3">
        <v>27.0</v>
      </c>
      <c r="I6" s="11">
        <v>6.1957591956</v>
      </c>
    </row>
    <row r="7">
      <c r="A7" s="3">
        <v>13.0</v>
      </c>
      <c r="B7" s="3" t="s">
        <v>200</v>
      </c>
      <c r="C7" s="4">
        <f>+23.02</f>
        <v>23.02</v>
      </c>
      <c r="D7" s="3">
        <v>118.2</v>
      </c>
      <c r="E7" s="3">
        <v>95.2</v>
      </c>
      <c r="F7" s="4">
        <f t="shared" si="1"/>
        <v>0.8969680984</v>
      </c>
      <c r="G7" s="10">
        <f t="shared" si="2"/>
        <v>0.3540747878</v>
      </c>
      <c r="H7" s="3">
        <v>25.0</v>
      </c>
      <c r="I7" s="11">
        <v>6.0697748889</v>
      </c>
    </row>
    <row r="8">
      <c r="A8" s="3">
        <v>10.0</v>
      </c>
      <c r="B8" s="3" t="s">
        <v>201</v>
      </c>
      <c r="C8" s="4">
        <f>+24.53</f>
        <v>24.53</v>
      </c>
      <c r="D8" s="3">
        <v>125.5</v>
      </c>
      <c r="E8" s="3">
        <v>101.0</v>
      </c>
      <c r="F8" s="4">
        <f t="shared" si="1"/>
        <v>0.8976932181</v>
      </c>
      <c r="G8" s="10">
        <f t="shared" si="2"/>
        <v>0.3522767676</v>
      </c>
      <c r="H8" s="3">
        <v>26.0</v>
      </c>
      <c r="I8" s="11">
        <v>5.4836073067</v>
      </c>
    </row>
    <row r="9">
      <c r="A9" s="3">
        <v>22.0</v>
      </c>
      <c r="B9" s="3" t="s">
        <v>202</v>
      </c>
      <c r="C9" s="4">
        <f>+19.36</f>
        <v>19.36</v>
      </c>
      <c r="D9" s="3">
        <v>113.4</v>
      </c>
      <c r="E9" s="3">
        <v>94.0</v>
      </c>
      <c r="F9" s="4">
        <f t="shared" si="1"/>
        <v>0.8671816529</v>
      </c>
      <c r="G9" s="10">
        <f t="shared" si="2"/>
        <v>0.4222704104</v>
      </c>
      <c r="H9" s="3">
        <v>22.0</v>
      </c>
      <c r="I9" s="11">
        <f>1-G349+5.41620579969999</f>
        <v>5.447273277</v>
      </c>
    </row>
    <row r="10">
      <c r="A10" s="3">
        <v>5.0</v>
      </c>
      <c r="B10" s="3" t="s">
        <v>203</v>
      </c>
      <c r="C10" s="4">
        <f>+26.61</f>
        <v>26.61</v>
      </c>
      <c r="D10" s="3">
        <v>116.8</v>
      </c>
      <c r="E10" s="3">
        <v>90.2</v>
      </c>
      <c r="F10" s="4">
        <f t="shared" si="1"/>
        <v>0.9298466704</v>
      </c>
      <c r="G10" s="10">
        <f t="shared" si="2"/>
        <v>0.2647294098</v>
      </c>
      <c r="H10" s="3">
        <v>24.0</v>
      </c>
      <c r="I10" s="11">
        <v>5.25727100439999</v>
      </c>
    </row>
    <row r="11">
      <c r="A11" s="3">
        <v>4.0</v>
      </c>
      <c r="B11" s="3" t="s">
        <v>204</v>
      </c>
      <c r="C11" s="4">
        <f>+27.99</f>
        <v>27.99</v>
      </c>
      <c r="D11" s="3">
        <v>120.4</v>
      </c>
      <c r="E11" s="3">
        <v>92.4</v>
      </c>
      <c r="F11" s="4">
        <f t="shared" si="1"/>
        <v>0.9338212449</v>
      </c>
      <c r="G11" s="10">
        <f t="shared" si="2"/>
        <v>0.252727235</v>
      </c>
      <c r="H11" s="3">
        <v>27.0</v>
      </c>
      <c r="I11" s="11">
        <v>5.1925004621</v>
      </c>
    </row>
    <row r="12">
      <c r="A12" s="3">
        <v>6.0</v>
      </c>
      <c r="B12" s="3" t="s">
        <v>205</v>
      </c>
      <c r="C12" s="4">
        <f>+26.55</f>
        <v>26.55</v>
      </c>
      <c r="D12" s="3">
        <v>120.2</v>
      </c>
      <c r="E12" s="3">
        <v>93.7</v>
      </c>
      <c r="F12" s="4">
        <f t="shared" si="1"/>
        <v>0.9234793874</v>
      </c>
      <c r="G12" s="10">
        <f t="shared" si="2"/>
        <v>0.2833748609</v>
      </c>
      <c r="H12" s="3">
        <v>25.0</v>
      </c>
      <c r="I12" s="11">
        <v>4.7018638966</v>
      </c>
    </row>
    <row r="13">
      <c r="A13" s="3">
        <v>54.0</v>
      </c>
      <c r="B13" s="3" t="s">
        <v>206</v>
      </c>
      <c r="C13" s="4">
        <f>+14.4</f>
        <v>14.4</v>
      </c>
      <c r="D13" s="3">
        <v>114.9</v>
      </c>
      <c r="E13" s="3">
        <v>100.5</v>
      </c>
      <c r="F13" s="4">
        <f t="shared" si="1"/>
        <v>0.792332778</v>
      </c>
      <c r="G13" s="10">
        <f t="shared" si="2"/>
        <v>0.5557081271</v>
      </c>
      <c r="H13" s="3">
        <v>26.0</v>
      </c>
      <c r="I13" s="11">
        <v>4.38465440859999</v>
      </c>
    </row>
    <row r="14">
      <c r="A14" s="3">
        <v>15.0</v>
      </c>
      <c r="B14" s="3" t="s">
        <v>207</v>
      </c>
      <c r="C14" s="4">
        <f>+21.9</f>
        <v>21.9</v>
      </c>
      <c r="D14" s="3">
        <v>122.4</v>
      </c>
      <c r="E14" s="3">
        <v>100.5</v>
      </c>
      <c r="F14" s="4">
        <f t="shared" si="1"/>
        <v>0.877757805</v>
      </c>
      <c r="G14" s="10">
        <f t="shared" si="2"/>
        <v>0.3992573688</v>
      </c>
      <c r="H14" s="3">
        <v>22.0</v>
      </c>
      <c r="I14" s="11">
        <f>1-G361+4.2773538828</f>
        <v>4.295151501</v>
      </c>
    </row>
    <row r="15">
      <c r="A15" s="3">
        <v>11.0</v>
      </c>
      <c r="B15" s="3" t="s">
        <v>208</v>
      </c>
      <c r="C15" s="4">
        <f>+24.22</f>
        <v>24.22</v>
      </c>
      <c r="D15" s="3">
        <v>120.9</v>
      </c>
      <c r="E15" s="3">
        <v>96.7</v>
      </c>
      <c r="F15" s="4">
        <f t="shared" si="1"/>
        <v>0.9032180556</v>
      </c>
      <c r="G15" s="10">
        <f t="shared" si="2"/>
        <v>0.3383406786</v>
      </c>
      <c r="H15" s="3">
        <v>23.0</v>
      </c>
      <c r="I15" s="11">
        <v>3.8443723236</v>
      </c>
    </row>
    <row r="16">
      <c r="A16" s="3">
        <v>27.0</v>
      </c>
      <c r="B16" s="3" t="s">
        <v>209</v>
      </c>
      <c r="C16" s="4">
        <f>+17.94</f>
        <v>17.94</v>
      </c>
      <c r="D16" s="3">
        <v>113.5</v>
      </c>
      <c r="E16" s="3">
        <v>95.6</v>
      </c>
      <c r="F16" s="4">
        <f t="shared" si="1"/>
        <v>0.8476516606</v>
      </c>
      <c r="G16" s="10">
        <f t="shared" si="2"/>
        <v>0.4617016374</v>
      </c>
      <c r="H16" s="3">
        <v>21.0</v>
      </c>
      <c r="I16" s="11">
        <f>1-G351+3.67734548069999</f>
        <v>3.705776264</v>
      </c>
    </row>
    <row r="17">
      <c r="A17" s="3">
        <v>7.0</v>
      </c>
      <c r="B17" s="3" t="s">
        <v>210</v>
      </c>
      <c r="C17" s="4">
        <f>+26.47</f>
        <v>26.47</v>
      </c>
      <c r="D17" s="3">
        <v>121.6</v>
      </c>
      <c r="E17" s="3">
        <v>95.2</v>
      </c>
      <c r="F17" s="4">
        <f t="shared" si="1"/>
        <v>0.9203835882</v>
      </c>
      <c r="G17" s="10">
        <f t="shared" si="2"/>
        <v>0.2921914899</v>
      </c>
      <c r="H17" s="3">
        <v>24.0</v>
      </c>
      <c r="I17" s="11">
        <v>3.6216238743</v>
      </c>
    </row>
    <row r="18">
      <c r="A18" s="3">
        <v>51.0</v>
      </c>
      <c r="B18" s="3" t="s">
        <v>211</v>
      </c>
      <c r="C18" s="4">
        <f>+14.89</f>
        <v>14.89</v>
      </c>
      <c r="D18" s="3">
        <v>116.0</v>
      </c>
      <c r="E18" s="3">
        <v>101.1</v>
      </c>
      <c r="F18" s="4">
        <f t="shared" si="1"/>
        <v>0.7981546637</v>
      </c>
      <c r="G18" s="10">
        <f t="shared" si="2"/>
        <v>0.5468633975</v>
      </c>
      <c r="H18" s="3">
        <v>25.0</v>
      </c>
      <c r="I18" s="11">
        <f>2*(1-G329)+3.2016820636</f>
        <v>3.288278495</v>
      </c>
    </row>
    <row r="19">
      <c r="A19" s="3">
        <v>14.0</v>
      </c>
      <c r="B19" s="3" t="s">
        <v>212</v>
      </c>
      <c r="C19" s="4">
        <f>+22.96</f>
        <v>22.96</v>
      </c>
      <c r="D19" s="3">
        <v>126.0</v>
      </c>
      <c r="E19" s="3">
        <v>103.0</v>
      </c>
      <c r="F19" s="4">
        <f t="shared" si="1"/>
        <v>0.8824179256</v>
      </c>
      <c r="G19" s="10">
        <f t="shared" si="2"/>
        <v>0.3887135138</v>
      </c>
      <c r="H19" s="3">
        <v>21.0</v>
      </c>
      <c r="I19" s="11">
        <v>3.12664317179999</v>
      </c>
    </row>
    <row r="20">
      <c r="A20" s="3">
        <v>31.0</v>
      </c>
      <c r="B20" s="3" t="s">
        <v>213</v>
      </c>
      <c r="C20" s="4">
        <f>+17.32</f>
        <v>17.32</v>
      </c>
      <c r="D20" s="3">
        <v>117.4</v>
      </c>
      <c r="E20" s="3">
        <v>100.1</v>
      </c>
      <c r="F20" s="4">
        <f t="shared" si="1"/>
        <v>0.8312022944</v>
      </c>
      <c r="G20" s="10">
        <f t="shared" si="2"/>
        <v>0.4921591054</v>
      </c>
      <c r="H20" s="3">
        <v>23.0</v>
      </c>
      <c r="I20" s="11">
        <v>2.7929258968</v>
      </c>
    </row>
    <row r="21">
      <c r="A21" s="3">
        <v>23.0</v>
      </c>
      <c r="B21" s="3" t="s">
        <v>214</v>
      </c>
      <c r="C21" s="4">
        <f>+19.29</f>
        <v>19.29</v>
      </c>
      <c r="D21" s="3">
        <v>122.2</v>
      </c>
      <c r="E21" s="3">
        <v>102.9</v>
      </c>
      <c r="F21" s="4">
        <f t="shared" si="1"/>
        <v>0.8480017947</v>
      </c>
      <c r="G21" s="10">
        <f t="shared" si="2"/>
        <v>0.461027221</v>
      </c>
      <c r="H21" s="3">
        <v>23.0</v>
      </c>
      <c r="I21" s="11">
        <v>2.7736794271</v>
      </c>
    </row>
    <row r="22" hidden="1">
      <c r="A22" s="3">
        <v>21.0</v>
      </c>
      <c r="B22" s="3" t="s">
        <v>215</v>
      </c>
      <c r="C22" s="4">
        <f>+19.41</f>
        <v>19.41</v>
      </c>
      <c r="D22" s="3">
        <v>119.0</v>
      </c>
      <c r="E22" s="3">
        <v>99.6</v>
      </c>
      <c r="F22" s="4">
        <f t="shared" si="1"/>
        <v>0.8556491079</v>
      </c>
      <c r="G22" s="10">
        <f t="shared" si="2"/>
        <v>0.4460095153</v>
      </c>
    </row>
    <row r="23">
      <c r="A23" s="3">
        <v>17.0</v>
      </c>
      <c r="B23" s="3" t="s">
        <v>216</v>
      </c>
      <c r="C23" s="4">
        <f>+20.06</f>
        <v>20.06</v>
      </c>
      <c r="D23" s="3">
        <v>119.2</v>
      </c>
      <c r="E23" s="3">
        <v>99.2</v>
      </c>
      <c r="F23" s="4">
        <f t="shared" si="1"/>
        <v>0.862551719</v>
      </c>
      <c r="G23" s="10">
        <f t="shared" si="2"/>
        <v>0.4319642952</v>
      </c>
      <c r="H23" s="3">
        <v>22.0</v>
      </c>
      <c r="I23" s="11">
        <v>2.6024958832</v>
      </c>
    </row>
    <row r="24">
      <c r="A24" s="3">
        <v>40.0</v>
      </c>
      <c r="B24" s="3" t="s">
        <v>217</v>
      </c>
      <c r="C24" s="4">
        <f>+16.41</f>
        <v>16.41</v>
      </c>
      <c r="D24" s="3">
        <v>115.0</v>
      </c>
      <c r="E24" s="3">
        <v>98.6</v>
      </c>
      <c r="F24" s="4">
        <f t="shared" si="1"/>
        <v>0.8232623754</v>
      </c>
      <c r="G24" s="10">
        <f t="shared" si="2"/>
        <v>0.5060490532</v>
      </c>
      <c r="H24" s="3">
        <v>25.0</v>
      </c>
      <c r="I24" s="12">
        <f>1-G346+2.5248977506</f>
        <v>2.558464337</v>
      </c>
    </row>
    <row r="25">
      <c r="A25" s="3">
        <v>18.0</v>
      </c>
      <c r="B25" s="3" t="s">
        <v>218</v>
      </c>
      <c r="C25" s="4">
        <f>+19.96</f>
        <v>19.96</v>
      </c>
      <c r="D25" s="3">
        <v>119.8</v>
      </c>
      <c r="E25" s="3">
        <v>99.9</v>
      </c>
      <c r="F25" s="4">
        <f t="shared" si="1"/>
        <v>0.8601504363</v>
      </c>
      <c r="G25" s="10">
        <f t="shared" si="2"/>
        <v>0.4369046638</v>
      </c>
      <c r="H25" s="3">
        <v>23.0</v>
      </c>
      <c r="I25" s="11">
        <v>2.3670074028</v>
      </c>
    </row>
    <row r="26">
      <c r="A26" s="3">
        <v>26.0</v>
      </c>
      <c r="B26" s="3" t="s">
        <v>219</v>
      </c>
      <c r="C26" s="4">
        <f>+18.19</f>
        <v>18.19</v>
      </c>
      <c r="D26" s="3">
        <v>120.0</v>
      </c>
      <c r="E26" s="3">
        <v>101.8</v>
      </c>
      <c r="F26" s="4">
        <f t="shared" si="1"/>
        <v>0.838189239</v>
      </c>
      <c r="G26" s="10">
        <f t="shared" si="2"/>
        <v>0.479508902</v>
      </c>
      <c r="H26" s="3">
        <v>24.0</v>
      </c>
      <c r="I26" s="11">
        <v>2.3033395827</v>
      </c>
    </row>
    <row r="27">
      <c r="A27" s="3">
        <v>52.0</v>
      </c>
      <c r="B27" s="3" t="s">
        <v>220</v>
      </c>
      <c r="C27" s="4">
        <f>+14.84</f>
        <v>14.84</v>
      </c>
      <c r="D27" s="3">
        <v>112.9</v>
      </c>
      <c r="E27" s="3">
        <v>98.1</v>
      </c>
      <c r="F27" s="4">
        <f t="shared" si="1"/>
        <v>0.8030000096</v>
      </c>
      <c r="G27" s="10">
        <f t="shared" si="2"/>
        <v>0.5393323201</v>
      </c>
      <c r="H27" s="3">
        <v>28.0</v>
      </c>
      <c r="I27" s="11">
        <f>1-G337 +2.1613539397</f>
        <v>2.198775516</v>
      </c>
    </row>
    <row r="28">
      <c r="A28" s="3">
        <v>12.0</v>
      </c>
      <c r="B28" s="3" t="s">
        <v>221</v>
      </c>
      <c r="C28" s="4">
        <f>+23.17</f>
        <v>23.17</v>
      </c>
      <c r="D28" s="3">
        <v>122.6</v>
      </c>
      <c r="E28" s="3">
        <v>99.4</v>
      </c>
      <c r="F28" s="4">
        <f t="shared" si="1"/>
        <v>0.8906842105</v>
      </c>
      <c r="G28" s="10">
        <f t="shared" si="2"/>
        <v>0.3693647428</v>
      </c>
      <c r="H28" s="3">
        <v>24.0</v>
      </c>
      <c r="I28" s="11">
        <f>1-G378 +2.09702988709999</f>
        <v>3.097029887</v>
      </c>
    </row>
    <row r="29" hidden="1">
      <c r="A29" s="3">
        <v>28.0</v>
      </c>
      <c r="B29" s="3" t="s">
        <v>222</v>
      </c>
      <c r="C29" s="4">
        <f>+17.89</f>
        <v>17.89</v>
      </c>
      <c r="D29" s="3">
        <v>117.7</v>
      </c>
      <c r="E29" s="3">
        <v>99.8</v>
      </c>
      <c r="F29" s="4">
        <f t="shared" si="1"/>
        <v>0.8388516237</v>
      </c>
      <c r="G29" s="10">
        <f t="shared" si="2"/>
        <v>0.4782881002</v>
      </c>
    </row>
    <row r="30">
      <c r="A30" s="3">
        <v>32.0</v>
      </c>
      <c r="B30" s="3" t="s">
        <v>223</v>
      </c>
      <c r="C30" s="4">
        <f>+17.3</f>
        <v>17.3</v>
      </c>
      <c r="D30" s="3">
        <v>117.7</v>
      </c>
      <c r="E30" s="3">
        <v>100.4</v>
      </c>
      <c r="F30" s="4">
        <f t="shared" si="1"/>
        <v>0.8305834697</v>
      </c>
      <c r="G30" s="10">
        <f t="shared" si="2"/>
        <v>0.493259906</v>
      </c>
      <c r="H30" s="3">
        <v>24.0</v>
      </c>
      <c r="I30" s="11">
        <v>2.0253715314</v>
      </c>
    </row>
    <row r="31">
      <c r="A31" s="3">
        <v>20.0</v>
      </c>
      <c r="B31" s="3" t="s">
        <v>224</v>
      </c>
      <c r="C31" s="4">
        <f>+19.43</f>
        <v>19.43</v>
      </c>
      <c r="D31" s="3">
        <v>114.5</v>
      </c>
      <c r="E31" s="3">
        <v>95.0</v>
      </c>
      <c r="F31" s="4">
        <f t="shared" si="1"/>
        <v>0.8661083719</v>
      </c>
      <c r="G31" s="10">
        <f t="shared" si="2"/>
        <v>0.4245376151</v>
      </c>
      <c r="H31" s="3">
        <v>25.0</v>
      </c>
      <c r="I31" s="11">
        <f>1-G373+1.9395640184</f>
        <v>2.939564018</v>
      </c>
    </row>
    <row r="32">
      <c r="A32" s="3">
        <v>30.0</v>
      </c>
      <c r="B32" s="3" t="s">
        <v>225</v>
      </c>
      <c r="C32" s="4">
        <f>+17.55</f>
        <v>17.55</v>
      </c>
      <c r="D32" s="3">
        <v>116.2</v>
      </c>
      <c r="E32" s="3">
        <v>98.7</v>
      </c>
      <c r="F32" s="4">
        <f t="shared" si="1"/>
        <v>0.836481597</v>
      </c>
      <c r="G32" s="10">
        <f t="shared" si="2"/>
        <v>0.4826387526</v>
      </c>
      <c r="H32" s="3">
        <v>23.0</v>
      </c>
      <c r="I32" s="11">
        <v>1.9140927407</v>
      </c>
    </row>
    <row r="33">
      <c r="A33" s="3">
        <v>29.0</v>
      </c>
      <c r="B33" s="3" t="s">
        <v>226</v>
      </c>
      <c r="C33" s="4">
        <f>+17.8</f>
        <v>17.8</v>
      </c>
      <c r="D33" s="3">
        <v>114.4</v>
      </c>
      <c r="E33" s="3">
        <v>96.6</v>
      </c>
      <c r="F33" s="4">
        <f t="shared" si="1"/>
        <v>0.8443849781</v>
      </c>
      <c r="G33" s="10">
        <f t="shared" si="2"/>
        <v>0.4679397177</v>
      </c>
      <c r="H33" s="3">
        <v>25.0</v>
      </c>
      <c r="I33" s="11">
        <f>1-G366+1.8118502865</f>
        <v>2.811850287</v>
      </c>
    </row>
    <row r="34" hidden="1">
      <c r="A34" s="3">
        <v>33.0</v>
      </c>
      <c r="B34" s="3" t="s">
        <v>227</v>
      </c>
      <c r="C34" s="4">
        <f>+17.18</f>
        <v>17.18</v>
      </c>
      <c r="D34" s="3">
        <v>116.5</v>
      </c>
      <c r="E34" s="3">
        <v>99.3</v>
      </c>
      <c r="F34" s="4">
        <f t="shared" si="1"/>
        <v>0.8316626684</v>
      </c>
      <c r="G34" s="10">
        <f t="shared" si="2"/>
        <v>0.491338127</v>
      </c>
    </row>
    <row r="35">
      <c r="A35" s="3">
        <v>42.0</v>
      </c>
      <c r="B35" s="3" t="s">
        <v>228</v>
      </c>
      <c r="C35" s="4">
        <f>+16.33</f>
        <v>16.33</v>
      </c>
      <c r="D35" s="3">
        <v>113.2</v>
      </c>
      <c r="E35" s="3">
        <v>96.9</v>
      </c>
      <c r="F35" s="4">
        <f t="shared" si="1"/>
        <v>0.8256010922</v>
      </c>
      <c r="G35" s="10">
        <f t="shared" si="2"/>
        <v>0.5020098872</v>
      </c>
      <c r="H35" s="3">
        <v>24.0</v>
      </c>
      <c r="I35" s="11">
        <v>1.7466380827</v>
      </c>
    </row>
    <row r="36">
      <c r="A36" s="3">
        <v>63.0</v>
      </c>
      <c r="B36" s="3" t="s">
        <v>229</v>
      </c>
      <c r="C36" s="4">
        <f>+12.42</f>
        <v>12.42</v>
      </c>
      <c r="D36" s="3">
        <v>113.0</v>
      </c>
      <c r="E36" s="3">
        <v>100.6</v>
      </c>
      <c r="F36" s="4">
        <f t="shared" si="1"/>
        <v>0.761760478</v>
      </c>
      <c r="G36" s="10">
        <f t="shared" si="2"/>
        <v>0.5987958809</v>
      </c>
      <c r="H36" s="3">
        <v>30.0</v>
      </c>
      <c r="I36" s="11">
        <f>1-G335+1.7173483051</f>
        <v>1.758280026</v>
      </c>
    </row>
    <row r="37">
      <c r="A37" s="3">
        <v>53.0</v>
      </c>
      <c r="B37" s="3" t="s">
        <v>230</v>
      </c>
      <c r="C37" s="4">
        <f>+14.53</f>
        <v>14.53</v>
      </c>
      <c r="D37" s="3">
        <v>115.1</v>
      </c>
      <c r="E37" s="3">
        <v>100.5</v>
      </c>
      <c r="F37" s="4">
        <f t="shared" si="1"/>
        <v>0.7951798246</v>
      </c>
      <c r="G37" s="10">
        <f t="shared" si="2"/>
        <v>0.5514102164</v>
      </c>
      <c r="H37" s="3">
        <v>27.0</v>
      </c>
      <c r="I37" s="11">
        <v>1.66730078159999</v>
      </c>
    </row>
    <row r="38" hidden="1">
      <c r="A38" s="3">
        <v>37.0</v>
      </c>
      <c r="B38" s="3" t="s">
        <v>70</v>
      </c>
      <c r="C38" s="4">
        <f>+16.78</f>
        <v>16.78</v>
      </c>
      <c r="D38" s="3">
        <v>111.4</v>
      </c>
      <c r="E38" s="3">
        <v>94.6</v>
      </c>
      <c r="F38" s="4">
        <f t="shared" si="1"/>
        <v>0.8368122719</v>
      </c>
      <c r="G38" s="10">
        <f t="shared" si="2"/>
        <v>0.4820346239</v>
      </c>
    </row>
    <row r="39" hidden="1">
      <c r="A39" s="3">
        <v>38.0</v>
      </c>
      <c r="B39" s="3" t="s">
        <v>231</v>
      </c>
      <c r="C39" s="4">
        <f>+16.69</f>
        <v>16.69</v>
      </c>
      <c r="D39" s="3">
        <v>119.9</v>
      </c>
      <c r="E39" s="3">
        <v>103.2</v>
      </c>
      <c r="F39" s="4">
        <f t="shared" si="1"/>
        <v>0.8175583812</v>
      </c>
      <c r="G39" s="10">
        <f t="shared" si="2"/>
        <v>0.5157233068</v>
      </c>
    </row>
    <row r="40" hidden="1">
      <c r="A40" s="3">
        <v>39.0</v>
      </c>
      <c r="B40" s="3" t="s">
        <v>232</v>
      </c>
      <c r="C40" s="4">
        <f>+16.47</f>
        <v>16.47</v>
      </c>
      <c r="D40" s="3">
        <v>112.0</v>
      </c>
      <c r="E40" s="3">
        <v>95.5</v>
      </c>
      <c r="F40" s="4">
        <f t="shared" si="1"/>
        <v>0.831139713</v>
      </c>
      <c r="G40" s="10">
        <f t="shared" si="2"/>
        <v>0.4922705715</v>
      </c>
    </row>
    <row r="41">
      <c r="A41" s="3">
        <v>24.0</v>
      </c>
      <c r="B41" s="3" t="s">
        <v>233</v>
      </c>
      <c r="C41" s="4">
        <f>+19.03</f>
        <v>19.03</v>
      </c>
      <c r="D41" s="3">
        <v>118.4</v>
      </c>
      <c r="E41" s="3">
        <v>99.3</v>
      </c>
      <c r="F41" s="4">
        <f t="shared" si="1"/>
        <v>0.8531133866</v>
      </c>
      <c r="G41" s="10">
        <f t="shared" si="2"/>
        <v>0.451050919</v>
      </c>
      <c r="H41" s="3">
        <v>24.0</v>
      </c>
      <c r="I41" s="11">
        <v>1.4803030133</v>
      </c>
    </row>
    <row r="42">
      <c r="A42" s="3">
        <v>36.0</v>
      </c>
      <c r="B42" s="3" t="s">
        <v>234</v>
      </c>
      <c r="C42" s="4">
        <f>+17.02</f>
        <v>17.02</v>
      </c>
      <c r="D42" s="3">
        <v>114.0</v>
      </c>
      <c r="E42" s="3">
        <v>97.0</v>
      </c>
      <c r="F42" s="4">
        <f t="shared" si="1"/>
        <v>0.8340870747</v>
      </c>
      <c r="G42" s="10">
        <f t="shared" si="2"/>
        <v>0.4869857807</v>
      </c>
      <c r="H42" s="3">
        <v>22.0</v>
      </c>
      <c r="I42" s="11">
        <v>1.3003094677</v>
      </c>
    </row>
    <row r="43">
      <c r="A43" s="3">
        <v>47.0</v>
      </c>
      <c r="B43" s="3" t="s">
        <v>235</v>
      </c>
      <c r="C43" s="4">
        <f>+15.74</f>
        <v>15.74</v>
      </c>
      <c r="D43" s="3">
        <v>117.8</v>
      </c>
      <c r="E43" s="3">
        <v>102.1</v>
      </c>
      <c r="F43" s="4">
        <f t="shared" si="1"/>
        <v>0.8069566946</v>
      </c>
      <c r="G43" s="10">
        <f t="shared" si="2"/>
        <v>0.5330643265</v>
      </c>
      <c r="H43" s="3">
        <v>25.0</v>
      </c>
      <c r="I43" s="11">
        <v>1.15779083319999</v>
      </c>
    </row>
    <row r="44">
      <c r="A44" s="3">
        <v>55.0</v>
      </c>
      <c r="B44" s="3" t="s">
        <v>236</v>
      </c>
      <c r="C44" s="4">
        <f>+14.19</f>
        <v>14.19</v>
      </c>
      <c r="D44" s="3">
        <v>114.7</v>
      </c>
      <c r="E44" s="3">
        <v>100.5</v>
      </c>
      <c r="F44" s="4">
        <f t="shared" si="1"/>
        <v>0.7894515991</v>
      </c>
      <c r="G44" s="10">
        <f t="shared" si="2"/>
        <v>0.5600051837</v>
      </c>
      <c r="H44" s="3">
        <v>23.0</v>
      </c>
      <c r="I44" s="11">
        <v>1.1076300934</v>
      </c>
    </row>
    <row r="45" hidden="1">
      <c r="A45" s="3">
        <v>44.0</v>
      </c>
      <c r="B45" s="3" t="s">
        <v>237</v>
      </c>
      <c r="C45" s="4">
        <f>+15.97</f>
        <v>15.97</v>
      </c>
      <c r="D45" s="3">
        <v>113.4</v>
      </c>
      <c r="E45" s="3">
        <v>97.4</v>
      </c>
      <c r="F45" s="4">
        <f t="shared" si="1"/>
        <v>0.8206785962</v>
      </c>
      <c r="G45" s="10">
        <f t="shared" si="2"/>
        <v>0.5104620364</v>
      </c>
    </row>
    <row r="46">
      <c r="A46" s="3">
        <v>41.0</v>
      </c>
      <c r="B46" s="3" t="s">
        <v>238</v>
      </c>
      <c r="C46" s="4">
        <f>+16.41</f>
        <v>16.41</v>
      </c>
      <c r="D46" s="3">
        <v>115.9</v>
      </c>
      <c r="E46" s="3">
        <v>99.5</v>
      </c>
      <c r="F46" s="4">
        <f t="shared" si="1"/>
        <v>0.8213764573</v>
      </c>
      <c r="G46" s="10">
        <f t="shared" si="2"/>
        <v>0.5092751857</v>
      </c>
      <c r="H46" s="3">
        <v>21.0</v>
      </c>
      <c r="I46" s="11">
        <v>1.09956399489999</v>
      </c>
    </row>
    <row r="47" hidden="1">
      <c r="A47" s="3">
        <v>46.0</v>
      </c>
      <c r="B47" s="3" t="s">
        <v>156</v>
      </c>
      <c r="C47" s="4">
        <f>+15.77</f>
        <v>15.77</v>
      </c>
      <c r="D47" s="3">
        <v>114.1</v>
      </c>
      <c r="E47" s="3">
        <v>98.4</v>
      </c>
      <c r="F47" s="4">
        <f t="shared" si="1"/>
        <v>0.814624614</v>
      </c>
      <c r="G47" s="10">
        <f t="shared" si="2"/>
        <v>0.5206037093</v>
      </c>
    </row>
    <row r="48">
      <c r="A48" s="3">
        <v>19.0</v>
      </c>
      <c r="B48" s="3" t="s">
        <v>239</v>
      </c>
      <c r="C48" s="4">
        <f>+19.44</f>
        <v>19.44</v>
      </c>
      <c r="D48" s="3">
        <v>117.7</v>
      </c>
      <c r="E48" s="3">
        <v>98.3</v>
      </c>
      <c r="F48" s="4">
        <f t="shared" si="1"/>
        <v>0.8582888505</v>
      </c>
      <c r="G48" s="10">
        <f t="shared" si="2"/>
        <v>0.440694533</v>
      </c>
      <c r="H48" s="3">
        <v>21.0</v>
      </c>
      <c r="I48" s="11">
        <v>1.02830080379999</v>
      </c>
    </row>
    <row r="49" hidden="1">
      <c r="A49" s="3">
        <v>48.0</v>
      </c>
      <c r="B49" s="3" t="s">
        <v>240</v>
      </c>
      <c r="C49" s="4">
        <f>+15.41</f>
        <v>15.41</v>
      </c>
      <c r="D49" s="3">
        <v>114.6</v>
      </c>
      <c r="E49" s="3">
        <v>99.2</v>
      </c>
      <c r="F49" s="4">
        <f t="shared" si="1"/>
        <v>0.8089339206</v>
      </c>
      <c r="G49" s="10">
        <f t="shared" si="2"/>
        <v>0.5298913534</v>
      </c>
    </row>
    <row r="50" hidden="1">
      <c r="A50" s="3">
        <v>49.0</v>
      </c>
      <c r="B50" s="3" t="s">
        <v>241</v>
      </c>
      <c r="C50" s="4">
        <f>+15.19</f>
        <v>15.19</v>
      </c>
      <c r="D50" s="3">
        <v>115.2</v>
      </c>
      <c r="E50" s="3">
        <v>100.0</v>
      </c>
      <c r="F50" s="4">
        <f t="shared" si="1"/>
        <v>0.804552689</v>
      </c>
      <c r="G50" s="10">
        <f t="shared" si="2"/>
        <v>0.5368854781</v>
      </c>
    </row>
    <row r="51" hidden="1">
      <c r="A51" s="3">
        <v>50.0</v>
      </c>
      <c r="B51" s="3" t="s">
        <v>57</v>
      </c>
      <c r="C51" s="4">
        <f>+15.03</f>
        <v>15.03</v>
      </c>
      <c r="D51" s="3">
        <v>113.1</v>
      </c>
      <c r="E51" s="3">
        <v>98.1</v>
      </c>
      <c r="F51" s="4">
        <f t="shared" si="1"/>
        <v>0.8057848436</v>
      </c>
      <c r="G51" s="10">
        <f t="shared" si="2"/>
        <v>0.5349319729</v>
      </c>
    </row>
    <row r="52">
      <c r="A52" s="3">
        <v>25.0</v>
      </c>
      <c r="B52" s="3" t="s">
        <v>242</v>
      </c>
      <c r="C52" s="4">
        <f>+18.77</f>
        <v>18.77</v>
      </c>
      <c r="D52" s="3">
        <v>116.5</v>
      </c>
      <c r="E52" s="3">
        <v>97.7</v>
      </c>
      <c r="F52" s="4">
        <f t="shared" si="1"/>
        <v>0.8531967772</v>
      </c>
      <c r="G52" s="10">
        <f t="shared" si="2"/>
        <v>0.4508861128</v>
      </c>
      <c r="H52" s="3">
        <v>20.0</v>
      </c>
      <c r="I52" s="11">
        <v>0.619138981499999</v>
      </c>
    </row>
    <row r="53">
      <c r="A53" s="3">
        <v>67.0</v>
      </c>
      <c r="B53" s="3" t="s">
        <v>243</v>
      </c>
      <c r="C53" s="4">
        <f>+11.8</f>
        <v>11.8</v>
      </c>
      <c r="D53" s="3">
        <v>113.4</v>
      </c>
      <c r="E53" s="3">
        <v>101.5</v>
      </c>
      <c r="F53" s="4">
        <f t="shared" si="1"/>
        <v>0.7518728532</v>
      </c>
      <c r="G53" s="10">
        <f t="shared" si="2"/>
        <v>0.6116326371</v>
      </c>
      <c r="H53" s="3">
        <v>26.0</v>
      </c>
      <c r="I53" s="12">
        <f>4*(1-G348)+0.5240487493</f>
        <v>0.6361521613</v>
      </c>
    </row>
    <row r="54">
      <c r="A54" s="3">
        <v>43.0</v>
      </c>
      <c r="B54" s="3" t="s">
        <v>244</v>
      </c>
      <c r="C54" s="4">
        <f>+16.04</f>
        <v>16.04</v>
      </c>
      <c r="D54" s="3">
        <v>114.7</v>
      </c>
      <c r="E54" s="3">
        <v>98.7</v>
      </c>
      <c r="F54" s="4">
        <f t="shared" si="1"/>
        <v>0.8179248245</v>
      </c>
      <c r="G54" s="10">
        <f t="shared" si="2"/>
        <v>0.5151092195</v>
      </c>
      <c r="H54" s="3">
        <v>21.0</v>
      </c>
      <c r="I54" s="11">
        <v>0.463334674899999</v>
      </c>
    </row>
    <row r="55">
      <c r="A55" s="3">
        <v>81.0</v>
      </c>
      <c r="B55" s="3" t="s">
        <v>245</v>
      </c>
      <c r="C55" s="4">
        <f>+10.03</f>
        <v>10.03</v>
      </c>
      <c r="D55" s="3">
        <v>113.6</v>
      </c>
      <c r="E55" s="3">
        <v>103.6</v>
      </c>
      <c r="F55" s="4">
        <f t="shared" si="1"/>
        <v>0.7153398567</v>
      </c>
      <c r="G55" s="10">
        <f t="shared" si="2"/>
        <v>0.6550572774</v>
      </c>
      <c r="H55" s="3">
        <v>27.0</v>
      </c>
      <c r="I55" s="12">
        <f>2*(1-G336)+0.4238965392</f>
        <v>0.5045150094</v>
      </c>
    </row>
    <row r="56">
      <c r="A56" s="3">
        <v>34.0</v>
      </c>
      <c r="B56" s="3" t="s">
        <v>246</v>
      </c>
      <c r="C56" s="4">
        <f>+17.07</f>
        <v>17.07</v>
      </c>
      <c r="D56" s="3">
        <v>113.0</v>
      </c>
      <c r="E56" s="3">
        <v>95.9</v>
      </c>
      <c r="F56" s="4">
        <f t="shared" si="1"/>
        <v>0.8376462622</v>
      </c>
      <c r="G56" s="10">
        <f t="shared" si="2"/>
        <v>0.4805068084</v>
      </c>
      <c r="H56" s="3">
        <v>21.0</v>
      </c>
      <c r="I56" s="11">
        <v>0.218532905099999</v>
      </c>
    </row>
    <row r="57" hidden="1">
      <c r="A57" s="3">
        <v>56.0</v>
      </c>
      <c r="B57" s="3" t="s">
        <v>114</v>
      </c>
      <c r="C57" s="4">
        <f>+14.17</f>
        <v>14.17</v>
      </c>
      <c r="D57" s="3">
        <v>113.2</v>
      </c>
      <c r="E57" s="3">
        <v>99.0</v>
      </c>
      <c r="F57" s="4">
        <f t="shared" si="1"/>
        <v>0.792549656</v>
      </c>
      <c r="G57" s="10">
        <f t="shared" si="2"/>
        <v>0.5553825496</v>
      </c>
    </row>
    <row r="58" hidden="1">
      <c r="A58" s="3">
        <v>57.0</v>
      </c>
      <c r="B58" s="3" t="s">
        <v>77</v>
      </c>
      <c r="C58" s="4">
        <f>+14.15</f>
        <v>14.15</v>
      </c>
      <c r="D58" s="3">
        <v>119.6</v>
      </c>
      <c r="E58" s="3">
        <v>105.4</v>
      </c>
      <c r="F58" s="4">
        <f t="shared" si="1"/>
        <v>0.7796970933</v>
      </c>
      <c r="G58" s="10">
        <f t="shared" si="2"/>
        <v>0.5741745704</v>
      </c>
    </row>
    <row r="59" hidden="1">
      <c r="A59" s="3">
        <v>58.0</v>
      </c>
      <c r="B59" s="3" t="s">
        <v>48</v>
      </c>
      <c r="C59" s="4">
        <f>+14.08</f>
        <v>14.08</v>
      </c>
      <c r="D59" s="3">
        <v>115.8</v>
      </c>
      <c r="E59" s="3">
        <v>101.7</v>
      </c>
      <c r="F59" s="4">
        <f t="shared" si="1"/>
        <v>0.7855609704</v>
      </c>
      <c r="G59" s="10">
        <f t="shared" si="2"/>
        <v>0.5657258156</v>
      </c>
    </row>
    <row r="60" hidden="1">
      <c r="A60" s="3">
        <v>59.0</v>
      </c>
      <c r="B60" s="3" t="s">
        <v>79</v>
      </c>
      <c r="C60" s="4">
        <f>+13.7</f>
        <v>13.7</v>
      </c>
      <c r="D60" s="3">
        <v>109.1</v>
      </c>
      <c r="E60" s="3">
        <v>95.4</v>
      </c>
      <c r="F60" s="4">
        <f t="shared" si="1"/>
        <v>0.7927961678</v>
      </c>
      <c r="G60" s="10">
        <f t="shared" si="2"/>
        <v>0.5550121229</v>
      </c>
    </row>
    <row r="61" hidden="1">
      <c r="A61" s="3">
        <v>60.0</v>
      </c>
      <c r="B61" s="3" t="s">
        <v>247</v>
      </c>
      <c r="C61" s="4">
        <f>+12.95</f>
        <v>12.95</v>
      </c>
      <c r="D61" s="3">
        <v>115.3</v>
      </c>
      <c r="E61" s="3">
        <v>102.3</v>
      </c>
      <c r="F61" s="4">
        <f t="shared" si="1"/>
        <v>0.7678619173</v>
      </c>
      <c r="G61" s="10">
        <f t="shared" si="2"/>
        <v>0.5906198804</v>
      </c>
    </row>
    <row r="62" hidden="1">
      <c r="A62" s="3">
        <v>61.0</v>
      </c>
      <c r="B62" s="3" t="s">
        <v>248</v>
      </c>
      <c r="C62" s="4">
        <f>+12.6</f>
        <v>12.6</v>
      </c>
      <c r="D62" s="3">
        <v>113.2</v>
      </c>
      <c r="E62" s="3">
        <v>100.6</v>
      </c>
      <c r="F62" s="4">
        <f t="shared" si="1"/>
        <v>0.7649548306</v>
      </c>
      <c r="G62" s="10">
        <f t="shared" si="2"/>
        <v>0.5945402911</v>
      </c>
    </row>
    <row r="63" hidden="1">
      <c r="A63" s="3">
        <v>62.0</v>
      </c>
      <c r="B63" s="3" t="s">
        <v>95</v>
      </c>
      <c r="C63" s="4">
        <f>+12.51</f>
        <v>12.51</v>
      </c>
      <c r="D63" s="3">
        <v>107.3</v>
      </c>
      <c r="E63" s="3">
        <v>94.7</v>
      </c>
      <c r="F63" s="4">
        <f t="shared" si="1"/>
        <v>0.7771520803</v>
      </c>
      <c r="G63" s="10">
        <f t="shared" si="2"/>
        <v>0.5777782676</v>
      </c>
    </row>
    <row r="64">
      <c r="A64" s="3">
        <v>16.0</v>
      </c>
      <c r="B64" s="3" t="s">
        <v>249</v>
      </c>
      <c r="C64" s="4">
        <f>+20.58</f>
        <v>20.58</v>
      </c>
      <c r="D64" s="3">
        <v>114.3</v>
      </c>
      <c r="E64" s="3">
        <v>93.7</v>
      </c>
      <c r="F64" s="4">
        <f t="shared" si="1"/>
        <v>0.8794554819</v>
      </c>
      <c r="G64" s="10">
        <f t="shared" si="2"/>
        <v>0.3954457608</v>
      </c>
      <c r="H64" s="3">
        <v>19.0</v>
      </c>
      <c r="I64" s="11">
        <v>0.0123447368999995</v>
      </c>
    </row>
    <row r="65" hidden="1">
      <c r="A65" s="3">
        <v>64.0</v>
      </c>
      <c r="B65" s="3" t="s">
        <v>250</v>
      </c>
      <c r="C65" s="4">
        <f>+12.18</f>
        <v>12.18</v>
      </c>
      <c r="D65" s="3">
        <v>112.1</v>
      </c>
      <c r="E65" s="3">
        <v>100.0</v>
      </c>
      <c r="F65" s="4">
        <f t="shared" si="1"/>
        <v>0.7580854308</v>
      </c>
      <c r="G65" s="10">
        <f t="shared" si="2"/>
        <v>0.6036255285</v>
      </c>
    </row>
    <row r="66" hidden="1">
      <c r="A66" s="3">
        <v>65.0</v>
      </c>
      <c r="B66" s="3" t="s">
        <v>52</v>
      </c>
      <c r="C66" s="4">
        <f>+12.05</f>
        <v>12.05</v>
      </c>
      <c r="D66" s="3">
        <v>110.5</v>
      </c>
      <c r="E66" s="3">
        <v>98.4</v>
      </c>
      <c r="F66" s="4">
        <f t="shared" si="1"/>
        <v>0.7612867711</v>
      </c>
      <c r="G66" s="10">
        <f t="shared" si="2"/>
        <v>0.5994223694</v>
      </c>
    </row>
    <row r="67" hidden="1">
      <c r="A67" s="3">
        <v>66.0</v>
      </c>
      <c r="B67" s="3" t="s">
        <v>251</v>
      </c>
      <c r="C67" s="4">
        <f>+11.83</f>
        <v>11.83</v>
      </c>
      <c r="D67" s="3">
        <v>107.5</v>
      </c>
      <c r="E67" s="3">
        <v>95.6</v>
      </c>
      <c r="F67" s="4">
        <f t="shared" si="1"/>
        <v>0.7637193842</v>
      </c>
      <c r="G67" s="10">
        <f t="shared" si="2"/>
        <v>0.5961926116</v>
      </c>
    </row>
    <row r="68">
      <c r="A68" s="3">
        <v>45.0</v>
      </c>
      <c r="B68" s="3" t="s">
        <v>252</v>
      </c>
      <c r="C68" s="4">
        <f>+15.9</f>
        <v>15.9</v>
      </c>
      <c r="D68" s="3">
        <v>114.3</v>
      </c>
      <c r="E68" s="3">
        <v>98.4</v>
      </c>
      <c r="F68" s="4">
        <f t="shared" si="1"/>
        <v>0.8172547375</v>
      </c>
      <c r="G68" s="10">
        <f t="shared" si="2"/>
        <v>0.5162313931</v>
      </c>
      <c r="H68" s="3">
        <v>22.0</v>
      </c>
      <c r="I68" s="11">
        <v>-0.517148681</v>
      </c>
    </row>
    <row r="69" hidden="1">
      <c r="A69" s="3">
        <v>68.0</v>
      </c>
      <c r="B69" s="3" t="s">
        <v>253</v>
      </c>
      <c r="C69" s="4">
        <f>+11.8</f>
        <v>11.8</v>
      </c>
      <c r="D69" s="3">
        <v>105.1</v>
      </c>
      <c r="E69" s="3">
        <v>93.3</v>
      </c>
      <c r="F69" s="4">
        <f t="shared" si="1"/>
        <v>0.7669058691</v>
      </c>
      <c r="G69" s="10">
        <f t="shared" si="2"/>
        <v>0.5919142278</v>
      </c>
    </row>
    <row r="70" hidden="1">
      <c r="A70" s="3">
        <v>69.0</v>
      </c>
      <c r="B70" s="3" t="s">
        <v>104</v>
      </c>
      <c r="C70" s="4">
        <f>+11.58</f>
        <v>11.58</v>
      </c>
      <c r="D70" s="3">
        <v>116.7</v>
      </c>
      <c r="E70" s="3">
        <v>105.1</v>
      </c>
      <c r="F70" s="4">
        <f t="shared" si="1"/>
        <v>0.7401873651</v>
      </c>
      <c r="G70" s="10">
        <f t="shared" si="2"/>
        <v>0.6261799942</v>
      </c>
    </row>
    <row r="71" hidden="1">
      <c r="A71" s="3">
        <v>70.0</v>
      </c>
      <c r="B71" s="3" t="s">
        <v>254</v>
      </c>
      <c r="C71" s="4">
        <f>+11.52</f>
        <v>11.52</v>
      </c>
      <c r="D71" s="3">
        <v>108.3</v>
      </c>
      <c r="E71" s="3">
        <v>96.8</v>
      </c>
      <c r="F71" s="4">
        <f t="shared" si="1"/>
        <v>0.7544672622</v>
      </c>
      <c r="G71" s="10">
        <f t="shared" si="2"/>
        <v>0.6083125147</v>
      </c>
    </row>
    <row r="72" hidden="1">
      <c r="A72" s="3">
        <v>71.0</v>
      </c>
      <c r="B72" s="3" t="s">
        <v>255</v>
      </c>
      <c r="C72" s="4">
        <f>+11.44</f>
        <v>11.44</v>
      </c>
      <c r="D72" s="3">
        <v>113.9</v>
      </c>
      <c r="E72" s="3">
        <v>102.4</v>
      </c>
      <c r="F72" s="4">
        <f t="shared" si="1"/>
        <v>0.743519352</v>
      </c>
      <c r="G72" s="10">
        <f t="shared" si="2"/>
        <v>0.6220984111</v>
      </c>
    </row>
    <row r="73" hidden="1">
      <c r="A73" s="3">
        <v>72.0</v>
      </c>
      <c r="B73" s="3" t="s">
        <v>256</v>
      </c>
      <c r="C73" s="4">
        <f>+11.13</f>
        <v>11.13</v>
      </c>
      <c r="D73" s="3">
        <v>111.9</v>
      </c>
      <c r="E73" s="3">
        <v>100.8</v>
      </c>
      <c r="F73" s="4">
        <f t="shared" si="1"/>
        <v>0.7397505801</v>
      </c>
      <c r="G73" s="10">
        <f t="shared" si="2"/>
        <v>0.6267112043</v>
      </c>
    </row>
    <row r="74" hidden="1">
      <c r="A74" s="3">
        <v>73.0</v>
      </c>
      <c r="B74" s="3" t="s">
        <v>257</v>
      </c>
      <c r="C74" s="4">
        <f>+10.86</f>
        <v>10.86</v>
      </c>
      <c r="D74" s="3">
        <v>113.0</v>
      </c>
      <c r="E74" s="3">
        <v>102.2</v>
      </c>
      <c r="F74" s="4">
        <f t="shared" si="1"/>
        <v>0.7319544604</v>
      </c>
      <c r="G74" s="10">
        <f t="shared" si="2"/>
        <v>0.6360462893</v>
      </c>
    </row>
    <row r="75" hidden="1">
      <c r="A75" s="3">
        <v>74.0</v>
      </c>
      <c r="B75" s="3" t="s">
        <v>258</v>
      </c>
      <c r="C75" s="4">
        <f>+10.83</f>
        <v>10.83</v>
      </c>
      <c r="D75" s="3">
        <v>110.3</v>
      </c>
      <c r="E75" s="3">
        <v>99.4</v>
      </c>
      <c r="F75" s="4">
        <f t="shared" si="1"/>
        <v>0.7389499665</v>
      </c>
      <c r="G75" s="10">
        <f t="shared" si="2"/>
        <v>0.6276826062</v>
      </c>
    </row>
    <row r="76" hidden="1">
      <c r="A76" s="3">
        <v>75.0</v>
      </c>
      <c r="B76" s="3" t="s">
        <v>119</v>
      </c>
      <c r="C76" s="4">
        <f>+10.69</f>
        <v>10.69</v>
      </c>
      <c r="D76" s="3">
        <v>109.2</v>
      </c>
      <c r="E76" s="3">
        <v>98.5</v>
      </c>
      <c r="F76" s="4">
        <f t="shared" si="1"/>
        <v>0.7371572232</v>
      </c>
      <c r="G76" s="10">
        <f t="shared" si="2"/>
        <v>0.6298470957</v>
      </c>
    </row>
    <row r="77" hidden="1">
      <c r="A77" s="3">
        <v>76.0</v>
      </c>
      <c r="B77" s="3" t="s">
        <v>25</v>
      </c>
      <c r="C77" s="4">
        <f>+10.59</f>
        <v>10.59</v>
      </c>
      <c r="D77" s="3">
        <v>113.2</v>
      </c>
      <c r="E77" s="3">
        <v>102.6</v>
      </c>
      <c r="F77" s="4">
        <f t="shared" si="1"/>
        <v>0.7277392037</v>
      </c>
      <c r="G77" s="10">
        <f t="shared" si="2"/>
        <v>0.6409808222</v>
      </c>
    </row>
    <row r="78" hidden="1">
      <c r="A78" s="3">
        <v>77.0</v>
      </c>
      <c r="B78" s="3" t="s">
        <v>259</v>
      </c>
      <c r="C78" s="4">
        <f>+10.49</f>
        <v>10.49</v>
      </c>
      <c r="D78" s="3">
        <v>111.5</v>
      </c>
      <c r="E78" s="3">
        <v>101.1</v>
      </c>
      <c r="F78" s="4">
        <f t="shared" si="1"/>
        <v>0.726938463</v>
      </c>
      <c r="G78" s="10">
        <f t="shared" si="2"/>
        <v>0.6419094614</v>
      </c>
    </row>
    <row r="79" hidden="1">
      <c r="A79" s="3">
        <v>78.0</v>
      </c>
      <c r="B79" s="3" t="s">
        <v>260</v>
      </c>
      <c r="C79" s="4">
        <f>+10.39</f>
        <v>10.39</v>
      </c>
      <c r="D79" s="3">
        <v>113.6</v>
      </c>
      <c r="E79" s="3">
        <v>103.2</v>
      </c>
      <c r="F79" s="4">
        <f t="shared" si="1"/>
        <v>0.7231511424</v>
      </c>
      <c r="G79" s="10">
        <f t="shared" si="2"/>
        <v>0.6462645285</v>
      </c>
    </row>
    <row r="80" hidden="1">
      <c r="A80" s="3">
        <v>79.0</v>
      </c>
      <c r="B80" s="3" t="s">
        <v>261</v>
      </c>
      <c r="C80" s="4">
        <f>+10.29</f>
        <v>10.29</v>
      </c>
      <c r="D80" s="3">
        <v>110.9</v>
      </c>
      <c r="E80" s="3">
        <v>100.6</v>
      </c>
      <c r="F80" s="4">
        <f t="shared" si="1"/>
        <v>0.7260685157</v>
      </c>
      <c r="G80" s="10">
        <f t="shared" si="2"/>
        <v>0.6429152342</v>
      </c>
    </row>
    <row r="81" hidden="1">
      <c r="A81" s="3">
        <v>80.0</v>
      </c>
      <c r="B81" s="3" t="s">
        <v>262</v>
      </c>
      <c r="C81" s="4">
        <f>+10.26</f>
        <v>10.26</v>
      </c>
      <c r="D81" s="3">
        <v>111.7</v>
      </c>
      <c r="E81" s="3">
        <v>101.4</v>
      </c>
      <c r="F81" s="4">
        <f t="shared" si="1"/>
        <v>0.7246081731</v>
      </c>
      <c r="G81" s="10">
        <f t="shared" si="2"/>
        <v>0.644596302</v>
      </c>
    </row>
    <row r="82">
      <c r="A82" s="3">
        <v>35.0</v>
      </c>
      <c r="B82" s="3" t="s">
        <v>263</v>
      </c>
      <c r="C82" s="4">
        <f>+17.02</f>
        <v>17.02</v>
      </c>
      <c r="D82" s="3">
        <v>117.5</v>
      </c>
      <c r="E82" s="3">
        <v>100.5</v>
      </c>
      <c r="F82" s="4">
        <f t="shared" si="1"/>
        <v>0.8267556358</v>
      </c>
      <c r="G82" s="10">
        <f t="shared" si="2"/>
        <v>0.5</v>
      </c>
      <c r="H82" s="3">
        <v>20.0</v>
      </c>
      <c r="I82" s="11">
        <v>-0.792982989399999</v>
      </c>
    </row>
    <row r="83" hidden="1">
      <c r="A83" s="3">
        <v>82.0</v>
      </c>
      <c r="B83" s="3" t="s">
        <v>264</v>
      </c>
      <c r="C83" s="4">
        <f>+9.97</f>
        <v>9.97</v>
      </c>
      <c r="D83" s="3">
        <v>109.5</v>
      </c>
      <c r="E83" s="3">
        <v>99.6</v>
      </c>
      <c r="F83" s="4">
        <f t="shared" si="1"/>
        <v>0.7206370634</v>
      </c>
      <c r="G83" s="10">
        <f t="shared" si="2"/>
        <v>0.649122027</v>
      </c>
    </row>
    <row r="84" hidden="1">
      <c r="A84" s="3">
        <v>83.0</v>
      </c>
      <c r="B84" s="3" t="s">
        <v>265</v>
      </c>
      <c r="C84" s="4">
        <f>+9.88</f>
        <v>9.88</v>
      </c>
      <c r="D84" s="3">
        <v>108.4</v>
      </c>
      <c r="E84" s="3">
        <v>98.6</v>
      </c>
      <c r="F84" s="4">
        <f t="shared" si="1"/>
        <v>0.7206258754</v>
      </c>
      <c r="G84" s="10">
        <f t="shared" si="2"/>
        <v>0.6491346843</v>
      </c>
    </row>
    <row r="85" hidden="1">
      <c r="A85" s="3">
        <v>84.0</v>
      </c>
      <c r="B85" s="3" t="s">
        <v>166</v>
      </c>
      <c r="C85" s="4">
        <f>+9.82</f>
        <v>9.82</v>
      </c>
      <c r="D85" s="3">
        <v>109.4</v>
      </c>
      <c r="E85" s="3">
        <v>99.6</v>
      </c>
      <c r="F85" s="4">
        <f t="shared" si="1"/>
        <v>0.7187939885</v>
      </c>
      <c r="G85" s="10">
        <f t="shared" si="2"/>
        <v>0.6512001554</v>
      </c>
    </row>
    <row r="86" hidden="1">
      <c r="A86" s="3">
        <v>85.0</v>
      </c>
      <c r="B86" s="3" t="s">
        <v>85</v>
      </c>
      <c r="C86" s="4">
        <f>+9.63</f>
        <v>9.63</v>
      </c>
      <c r="D86" s="3">
        <v>110.5</v>
      </c>
      <c r="E86" s="3">
        <v>100.8</v>
      </c>
      <c r="F86" s="4">
        <f t="shared" si="1"/>
        <v>0.7147917555</v>
      </c>
      <c r="G86" s="10">
        <f t="shared" si="2"/>
        <v>0.6556648737</v>
      </c>
    </row>
    <row r="87" hidden="1">
      <c r="A87" s="3">
        <v>86.0</v>
      </c>
      <c r="B87" s="3" t="s">
        <v>266</v>
      </c>
      <c r="C87" s="4">
        <f>+9.36</f>
        <v>9.36</v>
      </c>
      <c r="D87" s="3">
        <v>113.9</v>
      </c>
      <c r="E87" s="3">
        <v>104.5</v>
      </c>
      <c r="F87" s="4">
        <f t="shared" si="1"/>
        <v>0.7029401231</v>
      </c>
      <c r="G87" s="10">
        <f t="shared" si="2"/>
        <v>0.6685131819</v>
      </c>
    </row>
    <row r="88" hidden="1">
      <c r="A88" s="3">
        <v>87.0</v>
      </c>
      <c r="B88" s="3" t="s">
        <v>267</v>
      </c>
      <c r="C88" s="4">
        <f>+9.26</f>
        <v>9.26</v>
      </c>
      <c r="D88" s="3">
        <v>111.0</v>
      </c>
      <c r="E88" s="3">
        <v>101.7</v>
      </c>
      <c r="F88" s="4">
        <f t="shared" si="1"/>
        <v>0.7057910461</v>
      </c>
      <c r="G88" s="10">
        <f t="shared" si="2"/>
        <v>0.6654722445</v>
      </c>
    </row>
    <row r="89">
      <c r="A89" s="3">
        <v>104.0</v>
      </c>
      <c r="B89" s="3" t="s">
        <v>268</v>
      </c>
      <c r="C89" s="4">
        <f>+6.61</f>
        <v>6.61</v>
      </c>
      <c r="D89" s="3">
        <v>106.5</v>
      </c>
      <c r="E89" s="3">
        <v>99.9</v>
      </c>
      <c r="F89" s="4">
        <f t="shared" si="1"/>
        <v>0.6546976226</v>
      </c>
      <c r="G89" s="10">
        <f t="shared" si="2"/>
        <v>0.7156637803</v>
      </c>
      <c r="H89" s="3">
        <v>26.0</v>
      </c>
      <c r="I89" s="12">
        <f>2*(1-G347)-1.10341777839999</f>
        <v>-1.039037015</v>
      </c>
    </row>
    <row r="90" hidden="1">
      <c r="A90" s="3">
        <v>89.0</v>
      </c>
      <c r="B90" s="3" t="s">
        <v>78</v>
      </c>
      <c r="C90" s="4">
        <f>+9.08</f>
        <v>9.08</v>
      </c>
      <c r="D90" s="3">
        <v>107.2</v>
      </c>
      <c r="E90" s="3">
        <v>98.1</v>
      </c>
      <c r="F90" s="4">
        <f t="shared" si="1"/>
        <v>0.7082890422</v>
      </c>
      <c r="G90" s="10">
        <f t="shared" si="2"/>
        <v>0.6627821605</v>
      </c>
    </row>
    <row r="91">
      <c r="A91" s="3">
        <v>101.0</v>
      </c>
      <c r="B91" s="3" t="s">
        <v>269</v>
      </c>
      <c r="C91" s="4">
        <f>+7.52</f>
        <v>7.52</v>
      </c>
      <c r="D91" s="3">
        <v>113.9</v>
      </c>
      <c r="E91" s="3">
        <v>106.4</v>
      </c>
      <c r="F91" s="4">
        <f t="shared" si="1"/>
        <v>0.6639959721</v>
      </c>
      <c r="G91" s="10">
        <f t="shared" si="2"/>
        <v>0.7071646722</v>
      </c>
      <c r="H91" s="3">
        <v>26.0</v>
      </c>
      <c r="I91" s="11">
        <f>1-G352-1.51212508099999</f>
        <v>-1.482538297</v>
      </c>
    </row>
    <row r="92" hidden="1">
      <c r="A92" s="3">
        <v>91.0</v>
      </c>
      <c r="B92" s="3" t="s">
        <v>44</v>
      </c>
      <c r="C92" s="4">
        <f>+8.74</f>
        <v>8.74</v>
      </c>
      <c r="D92" s="3">
        <v>109.8</v>
      </c>
      <c r="E92" s="3">
        <v>101.1</v>
      </c>
      <c r="F92" s="4">
        <f t="shared" si="1"/>
        <v>0.6954034423</v>
      </c>
      <c r="G92" s="10">
        <f t="shared" si="2"/>
        <v>0.6764056031</v>
      </c>
    </row>
    <row r="93" hidden="1">
      <c r="A93" s="3">
        <v>92.0</v>
      </c>
      <c r="B93" s="3" t="s">
        <v>270</v>
      </c>
      <c r="C93" s="4">
        <f>+8.58</f>
        <v>8.58</v>
      </c>
      <c r="D93" s="3">
        <v>111.8</v>
      </c>
      <c r="E93" s="3">
        <v>103.2</v>
      </c>
      <c r="F93" s="4">
        <f t="shared" si="1"/>
        <v>0.6900658296</v>
      </c>
      <c r="G93" s="10">
        <f t="shared" si="2"/>
        <v>0.681870014</v>
      </c>
    </row>
    <row r="94" hidden="1">
      <c r="A94" s="3">
        <v>93.0</v>
      </c>
      <c r="B94" s="3" t="s">
        <v>69</v>
      </c>
      <c r="C94" s="4">
        <f>+8.38</f>
        <v>8.38</v>
      </c>
      <c r="D94" s="3">
        <v>105.5</v>
      </c>
      <c r="E94" s="3">
        <v>97.1</v>
      </c>
      <c r="F94" s="4">
        <f t="shared" si="1"/>
        <v>0.6962905995</v>
      </c>
      <c r="G94" s="10">
        <f t="shared" si="2"/>
        <v>0.6754874317</v>
      </c>
    </row>
    <row r="95" hidden="1">
      <c r="A95" s="3">
        <v>94.0</v>
      </c>
      <c r="B95" s="3" t="s">
        <v>271</v>
      </c>
      <c r="C95" s="4">
        <f>+8.33</f>
        <v>8.33</v>
      </c>
      <c r="D95" s="3">
        <v>108.8</v>
      </c>
      <c r="E95" s="3">
        <v>100.5</v>
      </c>
      <c r="F95" s="4">
        <f t="shared" si="1"/>
        <v>0.6885900885</v>
      </c>
      <c r="G95" s="10">
        <f t="shared" si="2"/>
        <v>0.6833629571</v>
      </c>
    </row>
    <row r="96" hidden="1">
      <c r="A96" s="3">
        <v>95.0</v>
      </c>
      <c r="B96" s="3" t="s">
        <v>81</v>
      </c>
      <c r="C96" s="4">
        <f>+8.26</f>
        <v>8.26</v>
      </c>
      <c r="D96" s="3">
        <v>110.5</v>
      </c>
      <c r="E96" s="3">
        <v>102.2</v>
      </c>
      <c r="F96" s="4">
        <f t="shared" si="1"/>
        <v>0.6858607871</v>
      </c>
      <c r="G96" s="10">
        <f t="shared" si="2"/>
        <v>0.686104028</v>
      </c>
    </row>
    <row r="97" hidden="1">
      <c r="A97" s="3">
        <v>96.0</v>
      </c>
      <c r="B97" s="3" t="s">
        <v>272</v>
      </c>
      <c r="C97" s="4">
        <f>+8.17</f>
        <v>8.17</v>
      </c>
      <c r="D97" s="3">
        <v>111.2</v>
      </c>
      <c r="E97" s="3">
        <v>103.0</v>
      </c>
      <c r="F97" s="4">
        <f t="shared" si="1"/>
        <v>0.6826579979</v>
      </c>
      <c r="G97" s="10">
        <f t="shared" si="2"/>
        <v>0.6892878677</v>
      </c>
    </row>
    <row r="98" hidden="1">
      <c r="A98" s="3">
        <v>97.0</v>
      </c>
      <c r="B98" s="3" t="s">
        <v>273</v>
      </c>
      <c r="C98" s="4">
        <f>+8.09</f>
        <v>8.09</v>
      </c>
      <c r="D98" s="3">
        <v>109.5</v>
      </c>
      <c r="E98" s="3">
        <v>101.5</v>
      </c>
      <c r="F98" s="4">
        <f t="shared" si="1"/>
        <v>0.6810621933</v>
      </c>
      <c r="G98" s="10">
        <f t="shared" si="2"/>
        <v>0.6908611968</v>
      </c>
    </row>
    <row r="99" hidden="1">
      <c r="A99" s="3">
        <v>98.0</v>
      </c>
      <c r="B99" s="3" t="s">
        <v>45</v>
      </c>
      <c r="C99" s="4">
        <f>+7.96</f>
        <v>7.96</v>
      </c>
      <c r="D99" s="3">
        <v>107.4</v>
      </c>
      <c r="E99" s="3">
        <v>99.4</v>
      </c>
      <c r="F99" s="4">
        <f t="shared" si="1"/>
        <v>0.6844029659</v>
      </c>
      <c r="G99" s="10">
        <f t="shared" si="2"/>
        <v>0.6875575788</v>
      </c>
    </row>
    <row r="100" hidden="1">
      <c r="A100" s="3">
        <v>99.0</v>
      </c>
      <c r="B100" s="3" t="s">
        <v>274</v>
      </c>
      <c r="C100" s="4">
        <f>+7.69</f>
        <v>7.69</v>
      </c>
      <c r="D100" s="3">
        <v>110.6</v>
      </c>
      <c r="E100" s="3">
        <v>102.9</v>
      </c>
      <c r="F100" s="4">
        <f t="shared" si="1"/>
        <v>0.6729646344</v>
      </c>
      <c r="G100" s="10">
        <f t="shared" si="2"/>
        <v>0.6987140159</v>
      </c>
    </row>
    <row r="101" hidden="1">
      <c r="A101" s="3">
        <v>100.0</v>
      </c>
      <c r="B101" s="3" t="s">
        <v>275</v>
      </c>
      <c r="C101" s="4">
        <f>+7.56</f>
        <v>7.56</v>
      </c>
      <c r="D101" s="3">
        <v>99.4</v>
      </c>
      <c r="E101" s="3">
        <v>91.8</v>
      </c>
      <c r="F101" s="4">
        <f t="shared" si="1"/>
        <v>0.6889892434</v>
      </c>
      <c r="G101" s="10">
        <f t="shared" si="2"/>
        <v>0.682959904</v>
      </c>
    </row>
    <row r="102">
      <c r="A102" s="3">
        <v>88.0</v>
      </c>
      <c r="B102" s="3" t="s">
        <v>276</v>
      </c>
      <c r="C102" s="4">
        <f>+9.19</f>
        <v>9.19</v>
      </c>
      <c r="D102" s="3">
        <v>107.2</v>
      </c>
      <c r="E102" s="3">
        <v>98.0</v>
      </c>
      <c r="F102" s="4">
        <f t="shared" si="1"/>
        <v>0.7103918053</v>
      </c>
      <c r="G102" s="10">
        <f t="shared" si="2"/>
        <v>0.6604989201</v>
      </c>
      <c r="H102" s="3">
        <v>23.0</v>
      </c>
      <c r="I102" s="12">
        <f>1-G376-1.8305990893</f>
        <v>-0.8305990893</v>
      </c>
    </row>
    <row r="103" hidden="1">
      <c r="A103" s="3">
        <v>102.0</v>
      </c>
      <c r="B103" s="3" t="s">
        <v>277</v>
      </c>
      <c r="C103" s="4">
        <f>+7.33</f>
        <v>7.33</v>
      </c>
      <c r="D103" s="3">
        <v>111.6</v>
      </c>
      <c r="E103" s="3">
        <v>104.3</v>
      </c>
      <c r="F103" s="4">
        <f t="shared" si="1"/>
        <v>0.6629563893</v>
      </c>
      <c r="G103" s="10">
        <f t="shared" si="2"/>
        <v>0.7081279304</v>
      </c>
    </row>
    <row r="104" hidden="1">
      <c r="A104" s="3">
        <v>103.0</v>
      </c>
      <c r="B104" s="3" t="s">
        <v>278</v>
      </c>
      <c r="C104" s="4">
        <f>+7.19</f>
        <v>7.19</v>
      </c>
      <c r="D104" s="3">
        <v>113.4</v>
      </c>
      <c r="E104" s="3">
        <v>106.2</v>
      </c>
      <c r="F104" s="4">
        <f t="shared" si="1"/>
        <v>0.6583551601</v>
      </c>
      <c r="G104" s="10">
        <f t="shared" si="2"/>
        <v>0.7123517081</v>
      </c>
    </row>
    <row r="105">
      <c r="A105" s="3">
        <v>106.0</v>
      </c>
      <c r="B105" s="3" t="s">
        <v>279</v>
      </c>
      <c r="C105" s="4">
        <f>+6.49</f>
        <v>6.49</v>
      </c>
      <c r="D105" s="3">
        <v>113.7</v>
      </c>
      <c r="E105" s="3">
        <v>107.2</v>
      </c>
      <c r="F105" s="4">
        <f t="shared" si="1"/>
        <v>0.6430602729</v>
      </c>
      <c r="G105" s="10">
        <f t="shared" si="2"/>
        <v>0.7259428318</v>
      </c>
      <c r="H105" s="3">
        <v>22.0</v>
      </c>
      <c r="I105" s="12">
        <f>1-G361-2.21724664329999</f>
        <v>-2.199449025</v>
      </c>
    </row>
    <row r="106" hidden="1">
      <c r="A106" s="3">
        <v>105.0</v>
      </c>
      <c r="B106" s="3" t="s">
        <v>280</v>
      </c>
      <c r="C106" s="4">
        <f>+6.57</f>
        <v>6.57</v>
      </c>
      <c r="D106" s="3">
        <v>110.5</v>
      </c>
      <c r="E106" s="3">
        <v>103.9</v>
      </c>
      <c r="F106" s="4">
        <f t="shared" si="1"/>
        <v>0.649277804</v>
      </c>
      <c r="G106" s="10">
        <f t="shared" si="2"/>
        <v>0.7204993374</v>
      </c>
    </row>
    <row r="107">
      <c r="A107" s="3">
        <v>90.0</v>
      </c>
      <c r="B107" s="3" t="s">
        <v>281</v>
      </c>
      <c r="C107" s="4">
        <f>+9.07</f>
        <v>9.07</v>
      </c>
      <c r="D107" s="3">
        <v>110.9</v>
      </c>
      <c r="E107" s="3">
        <v>101.8</v>
      </c>
      <c r="F107" s="4">
        <f t="shared" si="1"/>
        <v>0.7018635831</v>
      </c>
      <c r="G107" s="10">
        <f t="shared" si="2"/>
        <v>0.6696534663</v>
      </c>
      <c r="H107" s="3">
        <v>20.0</v>
      </c>
      <c r="I107" s="12">
        <f>2*(1-G379)-3.0939072426</f>
        <v>-1.093907243</v>
      </c>
    </row>
    <row r="108" hidden="1">
      <c r="A108" s="3">
        <v>107.0</v>
      </c>
      <c r="B108" s="3" t="s">
        <v>282</v>
      </c>
      <c r="C108" s="4">
        <f>+6.48</f>
        <v>6.48</v>
      </c>
      <c r="D108" s="3">
        <v>105.9</v>
      </c>
      <c r="E108" s="3">
        <v>99.4</v>
      </c>
      <c r="F108" s="4">
        <f t="shared" si="1"/>
        <v>0.6532671117</v>
      </c>
      <c r="G108" s="10">
        <f t="shared" si="2"/>
        <v>0.7169484027</v>
      </c>
    </row>
    <row r="109" hidden="1">
      <c r="A109" s="3">
        <v>108.0</v>
      </c>
      <c r="B109" s="3" t="s">
        <v>28</v>
      </c>
      <c r="C109" s="4">
        <f>+5.87</f>
        <v>5.87</v>
      </c>
      <c r="D109" s="3">
        <v>110.0</v>
      </c>
      <c r="E109" s="3">
        <v>104.1</v>
      </c>
      <c r="F109" s="4">
        <f t="shared" si="1"/>
        <v>0.6344334147</v>
      </c>
      <c r="G109" s="10">
        <f t="shared" si="2"/>
        <v>0.7333179326</v>
      </c>
    </row>
    <row r="110" hidden="1">
      <c r="A110" s="3">
        <v>109.0</v>
      </c>
      <c r="B110" s="3" t="s">
        <v>283</v>
      </c>
      <c r="C110" s="4">
        <f>+5.7</f>
        <v>5.7</v>
      </c>
      <c r="D110" s="3">
        <v>109.8</v>
      </c>
      <c r="E110" s="3">
        <v>104.1</v>
      </c>
      <c r="F110" s="4">
        <f t="shared" si="1"/>
        <v>0.6302024759</v>
      </c>
      <c r="G110" s="10">
        <f t="shared" si="2"/>
        <v>0.7368617105</v>
      </c>
    </row>
    <row r="111" hidden="1">
      <c r="A111" s="3">
        <v>110.0</v>
      </c>
      <c r="B111" s="3" t="s">
        <v>284</v>
      </c>
      <c r="C111" s="4">
        <f>+5.68</f>
        <v>5.68</v>
      </c>
      <c r="D111" s="3">
        <v>109.2</v>
      </c>
      <c r="E111" s="3">
        <v>103.5</v>
      </c>
      <c r="F111" s="4">
        <f t="shared" si="1"/>
        <v>0.6309034335</v>
      </c>
      <c r="G111" s="10">
        <f t="shared" si="2"/>
        <v>0.7362778657</v>
      </c>
    </row>
    <row r="112" hidden="1">
      <c r="A112" s="3">
        <v>111.0</v>
      </c>
      <c r="B112" s="3" t="s">
        <v>285</v>
      </c>
      <c r="C112" s="4">
        <f>+5.52</f>
        <v>5.52</v>
      </c>
      <c r="D112" s="3">
        <v>109.2</v>
      </c>
      <c r="E112" s="3">
        <v>103.6</v>
      </c>
      <c r="F112" s="4">
        <f t="shared" si="1"/>
        <v>0.6286517943</v>
      </c>
      <c r="G112" s="10">
        <f t="shared" si="2"/>
        <v>0.7381487419</v>
      </c>
    </row>
    <row r="113" hidden="1">
      <c r="A113" s="3">
        <v>112.0</v>
      </c>
      <c r="B113" s="3" t="s">
        <v>286</v>
      </c>
      <c r="C113" s="4">
        <f>+5.38</f>
        <v>5.38</v>
      </c>
      <c r="D113" s="3">
        <v>109.5</v>
      </c>
      <c r="E113" s="3">
        <v>104.2</v>
      </c>
      <c r="F113" s="4">
        <f t="shared" si="1"/>
        <v>0.6215480723</v>
      </c>
      <c r="G113" s="10">
        <f t="shared" si="2"/>
        <v>0.7439653857</v>
      </c>
    </row>
    <row r="114" hidden="1">
      <c r="A114" s="3">
        <v>113.0</v>
      </c>
      <c r="B114" s="3" t="s">
        <v>287</v>
      </c>
      <c r="C114" s="4">
        <f>+5.35</f>
        <v>5.35</v>
      </c>
      <c r="D114" s="3">
        <v>108.5</v>
      </c>
      <c r="E114" s="3">
        <v>103.1</v>
      </c>
      <c r="F114" s="4">
        <f t="shared" si="1"/>
        <v>0.6249255117</v>
      </c>
      <c r="G114" s="10">
        <f t="shared" si="2"/>
        <v>0.7412159803</v>
      </c>
    </row>
    <row r="115" hidden="1">
      <c r="A115" s="3">
        <v>114.0</v>
      </c>
      <c r="B115" s="3" t="s">
        <v>167</v>
      </c>
      <c r="C115" s="4">
        <f>+5.33</f>
        <v>5.33</v>
      </c>
      <c r="D115" s="3">
        <v>115.8</v>
      </c>
      <c r="E115" s="3">
        <v>110.5</v>
      </c>
      <c r="F115" s="4">
        <f t="shared" si="1"/>
        <v>0.615026402</v>
      </c>
      <c r="G115" s="10">
        <f t="shared" si="2"/>
        <v>0.7491935094</v>
      </c>
    </row>
    <row r="116" hidden="1">
      <c r="A116" s="3">
        <v>115.0</v>
      </c>
      <c r="B116" s="3" t="s">
        <v>288</v>
      </c>
      <c r="C116" s="4">
        <f>+5.31</f>
        <v>5.31</v>
      </c>
      <c r="D116" s="3">
        <v>109.4</v>
      </c>
      <c r="E116" s="3">
        <v>104.0</v>
      </c>
      <c r="F116" s="4">
        <f t="shared" si="1"/>
        <v>0.6239152227</v>
      </c>
      <c r="G116" s="10">
        <f t="shared" si="2"/>
        <v>0.7420414426</v>
      </c>
    </row>
    <row r="117">
      <c r="A117" s="3">
        <v>131.0</v>
      </c>
      <c r="B117" s="3" t="s">
        <v>289</v>
      </c>
      <c r="C117" s="4">
        <f>+3.73</f>
        <v>3.73</v>
      </c>
      <c r="D117" s="3">
        <v>109.3</v>
      </c>
      <c r="E117" s="3">
        <v>105.6</v>
      </c>
      <c r="F117" s="4">
        <f t="shared" si="1"/>
        <v>0.5852541414</v>
      </c>
      <c r="G117" s="10">
        <f t="shared" si="2"/>
        <v>0.7717864047</v>
      </c>
      <c r="H117" s="3">
        <v>23.0</v>
      </c>
      <c r="I117" s="11">
        <v>-3.491004374</v>
      </c>
    </row>
    <row r="118" hidden="1">
      <c r="A118" s="3">
        <v>117.0</v>
      </c>
      <c r="B118" s="3" t="s">
        <v>290</v>
      </c>
      <c r="C118" s="4">
        <f>+4.9</f>
        <v>4.9</v>
      </c>
      <c r="D118" s="3">
        <v>108.8</v>
      </c>
      <c r="E118" s="3">
        <v>103.9</v>
      </c>
      <c r="F118" s="4">
        <f t="shared" si="1"/>
        <v>0.6132097198</v>
      </c>
      <c r="G118" s="10">
        <f t="shared" si="2"/>
        <v>0.7506312319</v>
      </c>
    </row>
    <row r="119" hidden="1">
      <c r="A119" s="3">
        <v>118.0</v>
      </c>
      <c r="B119" s="3" t="s">
        <v>31</v>
      </c>
      <c r="C119" s="4">
        <f>+4.85</f>
        <v>4.85</v>
      </c>
      <c r="D119" s="3">
        <v>103.3</v>
      </c>
      <c r="E119" s="3">
        <v>98.4</v>
      </c>
      <c r="F119" s="4">
        <f t="shared" si="1"/>
        <v>0.6191555998</v>
      </c>
      <c r="G119" s="10">
        <f t="shared" si="2"/>
        <v>0.7458955815</v>
      </c>
    </row>
    <row r="120" hidden="1">
      <c r="A120" s="3">
        <v>119.0</v>
      </c>
      <c r="B120" s="3" t="s">
        <v>157</v>
      </c>
      <c r="C120" s="4">
        <f>+4.73</f>
        <v>4.73</v>
      </c>
      <c r="D120" s="3">
        <v>113.3</v>
      </c>
      <c r="E120" s="3">
        <v>108.6</v>
      </c>
      <c r="F120" s="4">
        <f t="shared" si="1"/>
        <v>0.6043629327</v>
      </c>
      <c r="G120" s="10">
        <f t="shared" si="2"/>
        <v>0.7575195865</v>
      </c>
    </row>
    <row r="121" hidden="1">
      <c r="A121" s="3">
        <v>120.0</v>
      </c>
      <c r="B121" s="3" t="s">
        <v>291</v>
      </c>
      <c r="C121" s="4">
        <f>+4.65</f>
        <v>4.65</v>
      </c>
      <c r="D121" s="3">
        <v>108.7</v>
      </c>
      <c r="E121" s="3">
        <v>104.1</v>
      </c>
      <c r="F121" s="4">
        <f t="shared" si="1"/>
        <v>0.6064461872</v>
      </c>
      <c r="G121" s="10">
        <f t="shared" si="2"/>
        <v>0.7559141633</v>
      </c>
    </row>
    <row r="122" hidden="1">
      <c r="A122" s="3">
        <v>121.0</v>
      </c>
      <c r="B122" s="3" t="s">
        <v>292</v>
      </c>
      <c r="C122" s="4">
        <f>+4.64</f>
        <v>4.64</v>
      </c>
      <c r="D122" s="3">
        <v>109.0</v>
      </c>
      <c r="E122" s="3">
        <v>104.4</v>
      </c>
      <c r="F122" s="4">
        <f t="shared" si="1"/>
        <v>0.6061559</v>
      </c>
      <c r="G122" s="10">
        <f t="shared" si="2"/>
        <v>0.7561384767</v>
      </c>
    </row>
    <row r="123">
      <c r="A123" s="3">
        <v>116.0</v>
      </c>
      <c r="B123" s="3" t="s">
        <v>293</v>
      </c>
      <c r="C123" s="4">
        <f>+5.15</f>
        <v>5.15</v>
      </c>
      <c r="D123" s="3">
        <v>109.1</v>
      </c>
      <c r="E123" s="3">
        <v>104.0</v>
      </c>
      <c r="F123" s="4">
        <f t="shared" si="1"/>
        <v>0.6174502851</v>
      </c>
      <c r="G123" s="10">
        <f t="shared" si="2"/>
        <v>0.747262688</v>
      </c>
      <c r="H123" s="3">
        <v>22.0</v>
      </c>
      <c r="I123" s="11">
        <v>-3.77012524089999</v>
      </c>
    </row>
    <row r="124" hidden="1">
      <c r="A124" s="3">
        <v>123.0</v>
      </c>
      <c r="B124" s="3" t="s">
        <v>294</v>
      </c>
      <c r="C124" s="4">
        <f>+4.45</f>
        <v>4.45</v>
      </c>
      <c r="D124" s="3">
        <v>109.4</v>
      </c>
      <c r="E124" s="3">
        <v>105.0</v>
      </c>
      <c r="F124" s="4">
        <f t="shared" si="1"/>
        <v>0.6012090577</v>
      </c>
      <c r="G124" s="10">
        <f t="shared" si="2"/>
        <v>0.7599308915</v>
      </c>
    </row>
    <row r="125" hidden="1">
      <c r="A125" s="3">
        <v>124.0</v>
      </c>
      <c r="B125" s="3" t="s">
        <v>295</v>
      </c>
      <c r="C125" s="4">
        <f>+4.44</f>
        <v>4.44</v>
      </c>
      <c r="D125" s="3">
        <v>109.3</v>
      </c>
      <c r="E125" s="3">
        <v>104.8</v>
      </c>
      <c r="F125" s="4">
        <f t="shared" si="1"/>
        <v>0.6035852392</v>
      </c>
      <c r="G125" s="10">
        <f t="shared" si="2"/>
        <v>0.7581163103</v>
      </c>
    </row>
    <row r="126" hidden="1">
      <c r="A126" s="3">
        <v>125.0</v>
      </c>
      <c r="B126" s="3" t="s">
        <v>35</v>
      </c>
      <c r="C126" s="4">
        <f>+4.28</f>
        <v>4.28</v>
      </c>
      <c r="D126" s="3">
        <v>105.7</v>
      </c>
      <c r="E126" s="3">
        <v>101.4</v>
      </c>
      <c r="F126" s="4">
        <f t="shared" si="1"/>
        <v>0.6023623515</v>
      </c>
      <c r="G126" s="10">
        <f t="shared" si="2"/>
        <v>0.7590517988</v>
      </c>
    </row>
    <row r="127" hidden="1">
      <c r="A127" s="3">
        <v>126.0</v>
      </c>
      <c r="B127" s="3" t="s">
        <v>296</v>
      </c>
      <c r="C127" s="4">
        <f>+4.17</f>
        <v>4.17</v>
      </c>
      <c r="D127" s="3">
        <v>108.3</v>
      </c>
      <c r="E127" s="3">
        <v>104.1</v>
      </c>
      <c r="F127" s="4">
        <f t="shared" si="1"/>
        <v>0.5976136514</v>
      </c>
      <c r="G127" s="10">
        <f t="shared" si="2"/>
        <v>0.7626519752</v>
      </c>
    </row>
    <row r="128" hidden="1">
      <c r="A128" s="3">
        <v>127.0</v>
      </c>
      <c r="B128" s="3" t="s">
        <v>297</v>
      </c>
      <c r="C128" s="4">
        <f>+3.92</f>
        <v>3.92</v>
      </c>
      <c r="D128" s="3">
        <v>104.0</v>
      </c>
      <c r="E128" s="3">
        <v>100.1</v>
      </c>
      <c r="F128" s="4">
        <f t="shared" si="1"/>
        <v>0.5944065304</v>
      </c>
      <c r="G128" s="10">
        <f t="shared" si="2"/>
        <v>0.7650545777</v>
      </c>
    </row>
    <row r="129" hidden="1">
      <c r="A129" s="3">
        <v>128.0</v>
      </c>
      <c r="B129" s="3" t="s">
        <v>65</v>
      </c>
      <c r="C129" s="4">
        <f>+3.9</f>
        <v>3.9</v>
      </c>
      <c r="D129" s="3">
        <v>110.6</v>
      </c>
      <c r="E129" s="3">
        <v>106.7</v>
      </c>
      <c r="F129" s="4">
        <f t="shared" si="1"/>
        <v>0.588795752</v>
      </c>
      <c r="G129" s="10">
        <f t="shared" si="2"/>
        <v>0.7692030667</v>
      </c>
    </row>
    <row r="130" hidden="1">
      <c r="A130" s="3">
        <v>129.0</v>
      </c>
      <c r="B130" s="3" t="s">
        <v>298</v>
      </c>
      <c r="C130" s="4">
        <f>+3.75</f>
        <v>3.75</v>
      </c>
      <c r="D130" s="3">
        <v>109.3</v>
      </c>
      <c r="E130" s="3">
        <v>105.5</v>
      </c>
      <c r="F130" s="4">
        <f t="shared" si="1"/>
        <v>0.5875519533</v>
      </c>
      <c r="G130" s="10">
        <f t="shared" si="2"/>
        <v>0.770113401</v>
      </c>
    </row>
    <row r="131" hidden="1">
      <c r="A131" s="3">
        <v>130.0</v>
      </c>
      <c r="B131" s="3" t="s">
        <v>299</v>
      </c>
      <c r="C131" s="4">
        <f>+3.74</f>
        <v>3.74</v>
      </c>
      <c r="D131" s="3">
        <v>111.8</v>
      </c>
      <c r="E131" s="3">
        <v>108.1</v>
      </c>
      <c r="F131" s="4">
        <f t="shared" si="1"/>
        <v>0.5833518356</v>
      </c>
      <c r="G131" s="10">
        <f t="shared" si="2"/>
        <v>0.7731629132</v>
      </c>
    </row>
    <row r="132">
      <c r="A132" s="3">
        <v>122.0</v>
      </c>
      <c r="B132" s="3" t="s">
        <v>300</v>
      </c>
      <c r="C132" s="4">
        <f>+4.58</f>
        <v>4.58</v>
      </c>
      <c r="D132" s="3">
        <v>106.8</v>
      </c>
      <c r="E132" s="3">
        <v>102.2</v>
      </c>
      <c r="F132" s="4">
        <f t="shared" si="1"/>
        <v>0.6083215745</v>
      </c>
      <c r="G132" s="10">
        <f t="shared" si="2"/>
        <v>0.7544602183</v>
      </c>
      <c r="H132" s="3">
        <v>22.0</v>
      </c>
      <c r="I132" s="12">
        <f>2*(1-G372)-4.5534762331</f>
        <v>-2.553476233</v>
      </c>
    </row>
    <row r="133" hidden="1">
      <c r="A133" s="3">
        <v>132.0</v>
      </c>
      <c r="B133" s="3" t="s">
        <v>168</v>
      </c>
      <c r="C133" s="4">
        <f>+3.65</f>
        <v>3.65</v>
      </c>
      <c r="D133" s="3">
        <v>107.2</v>
      </c>
      <c r="E133" s="3">
        <v>103.5</v>
      </c>
      <c r="F133" s="4">
        <f t="shared" si="1"/>
        <v>0.5869197851</v>
      </c>
      <c r="G133" s="10">
        <f t="shared" si="2"/>
        <v>0.7705748039</v>
      </c>
    </row>
    <row r="134" hidden="1">
      <c r="A134" s="3">
        <v>133.0</v>
      </c>
      <c r="B134" s="3" t="s">
        <v>301</v>
      </c>
      <c r="C134" s="4">
        <f>+3.4</f>
        <v>3.4</v>
      </c>
      <c r="D134" s="3">
        <v>113.4</v>
      </c>
      <c r="E134" s="3">
        <v>110.0</v>
      </c>
      <c r="F134" s="4">
        <f t="shared" si="1"/>
        <v>0.5755202847</v>
      </c>
      <c r="G134" s="10">
        <f t="shared" si="2"/>
        <v>0.7787498311</v>
      </c>
    </row>
    <row r="135" hidden="1">
      <c r="A135" s="3">
        <v>134.0</v>
      </c>
      <c r="B135" s="3" t="s">
        <v>302</v>
      </c>
      <c r="C135" s="4">
        <f>+3.02</f>
        <v>3.02</v>
      </c>
      <c r="D135" s="3">
        <v>108.3</v>
      </c>
      <c r="E135" s="3">
        <v>105.3</v>
      </c>
      <c r="F135" s="4">
        <f t="shared" si="1"/>
        <v>0.5697711098</v>
      </c>
      <c r="G135" s="10">
        <f t="shared" si="2"/>
        <v>0.7827711055</v>
      </c>
    </row>
    <row r="136">
      <c r="A136" s="3">
        <v>150.0</v>
      </c>
      <c r="B136" s="3" t="s">
        <v>303</v>
      </c>
      <c r="C136" s="4">
        <f>+1.5</f>
        <v>1.5</v>
      </c>
      <c r="D136" s="3">
        <v>104.8</v>
      </c>
      <c r="E136" s="3">
        <v>103.3</v>
      </c>
      <c r="F136" s="4">
        <f t="shared" si="1"/>
        <v>0.5359786981</v>
      </c>
      <c r="G136" s="10">
        <f t="shared" si="2"/>
        <v>0.8051254528</v>
      </c>
      <c r="H136" s="3">
        <v>24.0</v>
      </c>
      <c r="I136" s="12">
        <f>1-G348-4.85656966079999</f>
        <v>-4.828543808</v>
      </c>
    </row>
    <row r="137" hidden="1">
      <c r="A137" s="3">
        <v>136.0</v>
      </c>
      <c r="B137" s="3" t="s">
        <v>304</v>
      </c>
      <c r="C137" s="4">
        <f t="shared" ref="C137:C138" si="3">+2.73</f>
        <v>2.73</v>
      </c>
      <c r="D137" s="3">
        <v>110.8</v>
      </c>
      <c r="E137" s="3">
        <v>108.0</v>
      </c>
      <c r="F137" s="4">
        <f t="shared" si="1"/>
        <v>0.5636417986</v>
      </c>
      <c r="G137" s="10">
        <f t="shared" si="2"/>
        <v>0.7869856683</v>
      </c>
    </row>
    <row r="138" hidden="1">
      <c r="A138" s="3">
        <v>137.0</v>
      </c>
      <c r="B138" s="3" t="s">
        <v>161</v>
      </c>
      <c r="C138" s="4">
        <f t="shared" si="3"/>
        <v>2.73</v>
      </c>
      <c r="D138" s="3">
        <v>109.2</v>
      </c>
      <c r="E138" s="3">
        <v>106.5</v>
      </c>
      <c r="F138" s="4">
        <f t="shared" si="1"/>
        <v>0.5622652995</v>
      </c>
      <c r="G138" s="10">
        <f t="shared" si="2"/>
        <v>0.7879220519</v>
      </c>
    </row>
    <row r="139">
      <c r="A139" s="3">
        <v>135.0</v>
      </c>
      <c r="B139" s="3" t="s">
        <v>305</v>
      </c>
      <c r="C139" s="4">
        <f>+2.9</f>
        <v>2.9</v>
      </c>
      <c r="D139" s="3">
        <v>105.4</v>
      </c>
      <c r="E139" s="3">
        <v>102.5</v>
      </c>
      <c r="F139" s="4">
        <f t="shared" si="1"/>
        <v>0.5693006452</v>
      </c>
      <c r="G139" s="10">
        <f t="shared" si="2"/>
        <v>0.7830972317</v>
      </c>
      <c r="H139" s="3">
        <v>19.0</v>
      </c>
      <c r="I139" s="12">
        <f>3*(1-G366)-6.69758465659999</f>
        <v>-3.697584657</v>
      </c>
    </row>
    <row r="140" hidden="1">
      <c r="A140" s="3">
        <v>139.0</v>
      </c>
      <c r="B140" s="3" t="s">
        <v>306</v>
      </c>
      <c r="C140" s="4">
        <f>+2.55</f>
        <v>2.55</v>
      </c>
      <c r="D140" s="3">
        <v>112.7</v>
      </c>
      <c r="E140" s="3">
        <v>110.1</v>
      </c>
      <c r="F140" s="4">
        <f t="shared" si="1"/>
        <v>0.5580874782</v>
      </c>
      <c r="G140" s="10">
        <f t="shared" si="2"/>
        <v>0.790741749</v>
      </c>
    </row>
    <row r="141" hidden="1">
      <c r="A141" s="3">
        <v>140.0</v>
      </c>
      <c r="B141" s="3" t="s">
        <v>62</v>
      </c>
      <c r="C141" s="4">
        <f>+2.52</f>
        <v>2.52</v>
      </c>
      <c r="D141" s="3">
        <v>110.4</v>
      </c>
      <c r="E141" s="3">
        <v>107.9</v>
      </c>
      <c r="F141" s="4">
        <f t="shared" si="1"/>
        <v>0.5570141008</v>
      </c>
      <c r="G141" s="10">
        <f t="shared" si="2"/>
        <v>0.7914608209</v>
      </c>
    </row>
    <row r="142" hidden="1">
      <c r="A142" s="3">
        <v>141.0</v>
      </c>
      <c r="B142" s="3" t="s">
        <v>99</v>
      </c>
      <c r="C142" s="4">
        <f>+2.37</f>
        <v>2.37</v>
      </c>
      <c r="D142" s="3">
        <v>109.9</v>
      </c>
      <c r="E142" s="3">
        <v>107.6</v>
      </c>
      <c r="F142" s="4">
        <f t="shared" si="1"/>
        <v>0.5526793045</v>
      </c>
      <c r="G142" s="10">
        <f t="shared" si="2"/>
        <v>0.7943427221</v>
      </c>
    </row>
    <row r="143" hidden="1">
      <c r="A143" s="3">
        <v>142.0</v>
      </c>
      <c r="B143" s="3" t="s">
        <v>307</v>
      </c>
      <c r="C143" s="4">
        <f>+2.27</f>
        <v>2.27</v>
      </c>
      <c r="D143" s="3">
        <v>106.0</v>
      </c>
      <c r="E143" s="3">
        <v>103.7</v>
      </c>
      <c r="F143" s="4">
        <f t="shared" si="1"/>
        <v>0.554623568</v>
      </c>
      <c r="G143" s="10">
        <f t="shared" si="2"/>
        <v>0.7930544672</v>
      </c>
    </row>
    <row r="144" hidden="1">
      <c r="A144" s="3">
        <v>143.0</v>
      </c>
      <c r="B144" s="3" t="s">
        <v>308</v>
      </c>
      <c r="C144" s="4">
        <f>+2.13</f>
        <v>2.13</v>
      </c>
      <c r="D144" s="3">
        <v>109.1</v>
      </c>
      <c r="E144" s="3">
        <v>106.9</v>
      </c>
      <c r="F144" s="4">
        <f t="shared" si="1"/>
        <v>0.5507522981</v>
      </c>
      <c r="G144" s="10">
        <f t="shared" si="2"/>
        <v>0.795612623</v>
      </c>
    </row>
    <row r="145" hidden="1">
      <c r="A145" s="3">
        <v>144.0</v>
      </c>
      <c r="B145" s="3" t="s">
        <v>96</v>
      </c>
      <c r="C145" s="4">
        <f>+1.94</f>
        <v>1.94</v>
      </c>
      <c r="D145" s="3">
        <v>108.3</v>
      </c>
      <c r="E145" s="3">
        <v>106.4</v>
      </c>
      <c r="F145" s="4">
        <f t="shared" si="1"/>
        <v>0.5441337861</v>
      </c>
      <c r="G145" s="10">
        <f t="shared" si="2"/>
        <v>0.7999225374</v>
      </c>
    </row>
    <row r="146" hidden="1">
      <c r="A146" s="3">
        <v>145.0</v>
      </c>
      <c r="B146" s="3" t="s">
        <v>102</v>
      </c>
      <c r="C146" s="4">
        <f>+1.79</f>
        <v>1.79</v>
      </c>
      <c r="D146" s="3">
        <v>108.4</v>
      </c>
      <c r="E146" s="3">
        <v>106.6</v>
      </c>
      <c r="F146" s="4">
        <f t="shared" si="1"/>
        <v>0.5417639071</v>
      </c>
      <c r="G146" s="10">
        <f t="shared" si="2"/>
        <v>0.801446604</v>
      </c>
    </row>
    <row r="147" hidden="1">
      <c r="A147" s="3">
        <v>146.0</v>
      </c>
      <c r="B147" s="3" t="s">
        <v>309</v>
      </c>
      <c r="C147" s="4">
        <f>+1.77</f>
        <v>1.77</v>
      </c>
      <c r="D147" s="3">
        <v>103.5</v>
      </c>
      <c r="E147" s="3">
        <v>101.7</v>
      </c>
      <c r="F147" s="4">
        <f t="shared" si="1"/>
        <v>0.5437486154</v>
      </c>
      <c r="G147" s="10">
        <f t="shared" si="2"/>
        <v>0.8001709217</v>
      </c>
    </row>
    <row r="148" hidden="1">
      <c r="A148" s="3">
        <v>147.0</v>
      </c>
      <c r="B148" s="3" t="s">
        <v>310</v>
      </c>
      <c r="C148" s="4">
        <f>+1.74</f>
        <v>1.74</v>
      </c>
      <c r="D148" s="3">
        <v>109.2</v>
      </c>
      <c r="E148" s="3">
        <v>107.5</v>
      </c>
      <c r="F148" s="4">
        <f t="shared" si="1"/>
        <v>0.5391452648</v>
      </c>
      <c r="G148" s="10">
        <f t="shared" si="2"/>
        <v>0.8031190777</v>
      </c>
    </row>
    <row r="149" hidden="1">
      <c r="A149" s="3">
        <v>148.0</v>
      </c>
      <c r="B149" s="3" t="s">
        <v>311</v>
      </c>
      <c r="C149" s="4">
        <f>+1.71</f>
        <v>1.71</v>
      </c>
      <c r="D149" s="3">
        <v>107.6</v>
      </c>
      <c r="E149" s="3">
        <v>105.9</v>
      </c>
      <c r="F149" s="4">
        <f t="shared" si="1"/>
        <v>0.5397295554</v>
      </c>
      <c r="G149" s="10">
        <f t="shared" si="2"/>
        <v>0.8027469498</v>
      </c>
    </row>
    <row r="150" hidden="1">
      <c r="A150" s="3">
        <v>149.0</v>
      </c>
      <c r="B150" s="3" t="s">
        <v>312</v>
      </c>
      <c r="C150" s="4">
        <f>+1.61</f>
        <v>1.61</v>
      </c>
      <c r="D150" s="3">
        <v>104.5</v>
      </c>
      <c r="E150" s="3">
        <v>102.9</v>
      </c>
      <c r="F150" s="4">
        <f t="shared" si="1"/>
        <v>0.5384972273</v>
      </c>
      <c r="G150" s="10">
        <f t="shared" si="2"/>
        <v>0.8035311054</v>
      </c>
    </row>
    <row r="151">
      <c r="A151" s="3">
        <v>220.0</v>
      </c>
      <c r="B151" s="3" t="s">
        <v>313</v>
      </c>
      <c r="C151" s="3">
        <v>-4.51</v>
      </c>
      <c r="D151" s="3">
        <v>109.8</v>
      </c>
      <c r="E151" s="3">
        <v>114.3</v>
      </c>
      <c r="F151" s="4">
        <f t="shared" si="1"/>
        <v>0.4009134723</v>
      </c>
      <c r="G151" s="10">
        <f t="shared" si="2"/>
        <v>0.8770155155</v>
      </c>
      <c r="H151" s="3">
        <v>19.0</v>
      </c>
      <c r="I151" s="12">
        <f>3*(1-G293)-7.01019922379999</f>
        <v>-6.792879418</v>
      </c>
    </row>
    <row r="152" hidden="1">
      <c r="A152" s="3">
        <v>151.0</v>
      </c>
      <c r="B152" s="3" t="s">
        <v>108</v>
      </c>
      <c r="C152" s="4">
        <f>+1.4</f>
        <v>1.4</v>
      </c>
      <c r="D152" s="3">
        <v>105.9</v>
      </c>
      <c r="E152" s="3">
        <v>104.5</v>
      </c>
      <c r="F152" s="4">
        <f t="shared" si="1"/>
        <v>0.533221436</v>
      </c>
      <c r="G152" s="10">
        <f t="shared" si="2"/>
        <v>0.8068583469</v>
      </c>
    </row>
    <row r="153" hidden="1">
      <c r="A153" s="3">
        <v>152.0</v>
      </c>
      <c r="B153" s="3" t="s">
        <v>314</v>
      </c>
      <c r="C153" s="4">
        <f>+1.35</f>
        <v>1.35</v>
      </c>
      <c r="D153" s="3">
        <v>112.0</v>
      </c>
      <c r="E153" s="3">
        <v>110.7</v>
      </c>
      <c r="F153" s="4">
        <f t="shared" si="1"/>
        <v>0.5291544703</v>
      </c>
      <c r="G153" s="10">
        <f t="shared" si="2"/>
        <v>0.809390667</v>
      </c>
    </row>
    <row r="154" hidden="1">
      <c r="A154" s="3">
        <v>153.0</v>
      </c>
      <c r="B154" s="3" t="s">
        <v>315</v>
      </c>
      <c r="C154" s="4">
        <f>+1.31</f>
        <v>1.31</v>
      </c>
      <c r="D154" s="3">
        <v>106.2</v>
      </c>
      <c r="E154" s="3">
        <v>104.9</v>
      </c>
      <c r="F154" s="4">
        <f t="shared" si="1"/>
        <v>0.5307526173</v>
      </c>
      <c r="G154" s="10">
        <f t="shared" si="2"/>
        <v>0.8083989168</v>
      </c>
    </row>
    <row r="155" hidden="1">
      <c r="A155" s="3">
        <v>154.0</v>
      </c>
      <c r="B155" s="3" t="s">
        <v>316</v>
      </c>
      <c r="C155" s="4">
        <f>+1.12</f>
        <v>1.12</v>
      </c>
      <c r="D155" s="3">
        <v>104.7</v>
      </c>
      <c r="E155" s="3">
        <v>103.6</v>
      </c>
      <c r="F155" s="4">
        <f t="shared" si="1"/>
        <v>0.526379952</v>
      </c>
      <c r="G155" s="10">
        <f t="shared" si="2"/>
        <v>0.8111022376</v>
      </c>
    </row>
    <row r="156" hidden="1">
      <c r="A156" s="3">
        <v>155.0</v>
      </c>
      <c r="B156" s="3" t="s">
        <v>317</v>
      </c>
      <c r="C156" s="4">
        <f>+1.03</f>
        <v>1.03</v>
      </c>
      <c r="D156" s="3">
        <v>107.0</v>
      </c>
      <c r="E156" s="3">
        <v>105.9</v>
      </c>
      <c r="F156" s="4">
        <f t="shared" si="1"/>
        <v>0.5258109906</v>
      </c>
      <c r="G156" s="10">
        <f t="shared" si="2"/>
        <v>0.8114516364</v>
      </c>
    </row>
    <row r="157" hidden="1">
      <c r="A157" s="3">
        <v>156.0</v>
      </c>
      <c r="B157" s="3" t="s">
        <v>318</v>
      </c>
      <c r="C157" s="4">
        <f>+0.92</f>
        <v>0.92</v>
      </c>
      <c r="D157" s="3">
        <v>108.6</v>
      </c>
      <c r="E157" s="3">
        <v>107.7</v>
      </c>
      <c r="F157" s="4">
        <f t="shared" si="1"/>
        <v>0.5207925602</v>
      </c>
      <c r="G157" s="10">
        <f t="shared" si="2"/>
        <v>0.8145103164</v>
      </c>
    </row>
    <row r="158" hidden="1">
      <c r="A158" s="3">
        <v>157.0</v>
      </c>
      <c r="B158" s="3" t="s">
        <v>319</v>
      </c>
      <c r="C158" s="4">
        <f>+0.83</f>
        <v>0.83</v>
      </c>
      <c r="D158" s="3">
        <v>104.9</v>
      </c>
      <c r="E158" s="3">
        <v>104.1</v>
      </c>
      <c r="F158" s="4">
        <f t="shared" si="1"/>
        <v>0.5191295076</v>
      </c>
      <c r="G158" s="10">
        <f t="shared" si="2"/>
        <v>0.8155148506</v>
      </c>
    </row>
    <row r="159" hidden="1">
      <c r="A159" s="3">
        <v>158.0</v>
      </c>
      <c r="B159" s="3" t="s">
        <v>320</v>
      </c>
      <c r="C159" s="4">
        <f>+0.8</f>
        <v>0.8</v>
      </c>
      <c r="D159" s="3">
        <v>116.1</v>
      </c>
      <c r="E159" s="3">
        <v>115.3</v>
      </c>
      <c r="F159" s="4">
        <f t="shared" si="1"/>
        <v>0.5172792698</v>
      </c>
      <c r="G159" s="10">
        <f t="shared" si="2"/>
        <v>0.8166271998</v>
      </c>
    </row>
    <row r="160" hidden="1">
      <c r="A160" s="3">
        <v>159.0</v>
      </c>
      <c r="B160" s="3" t="s">
        <v>321</v>
      </c>
      <c r="C160" s="4">
        <f>+0.79</f>
        <v>0.79</v>
      </c>
      <c r="D160" s="3">
        <v>108.7</v>
      </c>
      <c r="E160" s="3">
        <v>107.9</v>
      </c>
      <c r="F160" s="4">
        <f t="shared" si="1"/>
        <v>0.5184589118</v>
      </c>
      <c r="G160" s="10">
        <f t="shared" si="2"/>
        <v>0.8159186448</v>
      </c>
    </row>
    <row r="161" hidden="1">
      <c r="A161" s="3">
        <v>160.0</v>
      </c>
      <c r="B161" s="3" t="s">
        <v>322</v>
      </c>
      <c r="C161" s="4">
        <f>+0.52</f>
        <v>0.52</v>
      </c>
      <c r="D161" s="3">
        <v>107.4</v>
      </c>
      <c r="E161" s="3">
        <v>106.9</v>
      </c>
      <c r="F161" s="4">
        <f t="shared" si="1"/>
        <v>0.5116637937</v>
      </c>
      <c r="G161" s="10">
        <f t="shared" si="2"/>
        <v>0.8199697299</v>
      </c>
    </row>
    <row r="162">
      <c r="A162" s="3">
        <v>138.0</v>
      </c>
      <c r="B162" s="3" t="s">
        <v>323</v>
      </c>
      <c r="C162" s="4">
        <f>+2.69</f>
        <v>2.69</v>
      </c>
      <c r="D162" s="3">
        <v>108.8</v>
      </c>
      <c r="E162" s="3">
        <v>106.1</v>
      </c>
      <c r="F162" s="4">
        <f t="shared" si="1"/>
        <v>0.5624946991</v>
      </c>
      <c r="G162" s="10">
        <f t="shared" si="2"/>
        <v>0.7877662543</v>
      </c>
      <c r="H162" s="3">
        <v>19.0</v>
      </c>
      <c r="I162" s="12">
        <f>3*(1-G386)-7.3061510459</f>
        <v>-4.306151046</v>
      </c>
    </row>
    <row r="163" hidden="1">
      <c r="A163" s="3">
        <v>162.0</v>
      </c>
      <c r="B163" s="3" t="s">
        <v>324</v>
      </c>
      <c r="C163" s="3">
        <v>-0.1</v>
      </c>
      <c r="D163" s="3">
        <v>100.2</v>
      </c>
      <c r="E163" s="3">
        <v>100.3</v>
      </c>
      <c r="F163" s="4">
        <f t="shared" si="1"/>
        <v>0.4975062549</v>
      </c>
      <c r="G163" s="10">
        <f t="shared" si="2"/>
        <v>0.8281797182</v>
      </c>
    </row>
    <row r="164" hidden="1">
      <c r="A164" s="3">
        <v>163.0</v>
      </c>
      <c r="B164" s="3" t="s">
        <v>162</v>
      </c>
      <c r="C164" s="3">
        <v>-0.17</v>
      </c>
      <c r="D164" s="3">
        <v>110.6</v>
      </c>
      <c r="E164" s="3">
        <v>110.8</v>
      </c>
      <c r="F164" s="4">
        <f t="shared" si="1"/>
        <v>0.4954834098</v>
      </c>
      <c r="G164" s="10">
        <f t="shared" si="2"/>
        <v>0.8293281083</v>
      </c>
    </row>
    <row r="165" hidden="1">
      <c r="A165" s="3">
        <v>164.0</v>
      </c>
      <c r="B165" s="3" t="s">
        <v>125</v>
      </c>
      <c r="C165" s="3">
        <v>-0.21</v>
      </c>
      <c r="D165" s="3">
        <v>107.4</v>
      </c>
      <c r="E165" s="3">
        <v>107.6</v>
      </c>
      <c r="F165" s="4">
        <f t="shared" si="1"/>
        <v>0.49534897</v>
      </c>
      <c r="G165" s="10">
        <f t="shared" si="2"/>
        <v>0.8294042172</v>
      </c>
    </row>
    <row r="166">
      <c r="A166" s="3">
        <v>165.0</v>
      </c>
      <c r="B166" s="3" t="s">
        <v>325</v>
      </c>
      <c r="C166" s="3">
        <v>-0.25</v>
      </c>
      <c r="D166" s="3">
        <v>107.3</v>
      </c>
      <c r="E166" s="3">
        <v>107.5</v>
      </c>
      <c r="F166" s="4">
        <f t="shared" si="1"/>
        <v>0.4953446397</v>
      </c>
      <c r="G166" s="10">
        <f t="shared" si="2"/>
        <v>0.8294066682</v>
      </c>
      <c r="H166" s="3">
        <v>19.0</v>
      </c>
      <c r="I166" s="12">
        <f>2*(1-G363)-8.40172534309999</f>
        <v>-8.38258282</v>
      </c>
    </row>
    <row r="167" hidden="1">
      <c r="A167" s="3">
        <v>166.0</v>
      </c>
      <c r="B167" s="3" t="s">
        <v>154</v>
      </c>
      <c r="C167" s="3">
        <v>-0.39</v>
      </c>
      <c r="D167" s="3">
        <v>112.0</v>
      </c>
      <c r="E167" s="3">
        <v>112.4</v>
      </c>
      <c r="F167" s="4">
        <f t="shared" si="1"/>
        <v>0.4910882784</v>
      </c>
      <c r="G167" s="10">
        <f t="shared" si="2"/>
        <v>0.8318025803</v>
      </c>
    </row>
    <row r="168" hidden="1">
      <c r="A168" s="3">
        <v>167.0</v>
      </c>
      <c r="B168" s="3" t="s">
        <v>326</v>
      </c>
      <c r="C168" s="3">
        <v>-0.59</v>
      </c>
      <c r="D168" s="3">
        <v>104.8</v>
      </c>
      <c r="E168" s="3">
        <v>105.3</v>
      </c>
      <c r="F168" s="4">
        <f t="shared" si="1"/>
        <v>0.4881031277</v>
      </c>
      <c r="G168" s="10">
        <f t="shared" si="2"/>
        <v>0.8334672654</v>
      </c>
    </row>
    <row r="169" hidden="1">
      <c r="A169" s="3">
        <v>168.0</v>
      </c>
      <c r="B169" s="3" t="s">
        <v>327</v>
      </c>
      <c r="C169" s="3">
        <v>-0.63</v>
      </c>
      <c r="D169" s="3">
        <v>106.3</v>
      </c>
      <c r="E169" s="3">
        <v>106.9</v>
      </c>
      <c r="F169" s="4">
        <f t="shared" si="1"/>
        <v>0.485932382</v>
      </c>
      <c r="G169" s="10">
        <f t="shared" si="2"/>
        <v>0.834669783</v>
      </c>
    </row>
    <row r="170" hidden="1">
      <c r="A170" s="3">
        <v>169.0</v>
      </c>
      <c r="B170" s="3" t="s">
        <v>71</v>
      </c>
      <c r="C170" s="3">
        <v>-0.63</v>
      </c>
      <c r="D170" s="3">
        <v>105.0</v>
      </c>
      <c r="E170" s="3">
        <v>105.6</v>
      </c>
      <c r="F170" s="4">
        <f t="shared" si="1"/>
        <v>0.4857588001</v>
      </c>
      <c r="G170" s="10">
        <f t="shared" si="2"/>
        <v>0.834765652</v>
      </c>
    </row>
    <row r="171" hidden="1">
      <c r="A171" s="3">
        <v>170.0</v>
      </c>
      <c r="B171" s="3" t="s">
        <v>328</v>
      </c>
      <c r="C171" s="3">
        <v>-0.65</v>
      </c>
      <c r="D171" s="3">
        <v>102.0</v>
      </c>
      <c r="E171" s="3">
        <v>102.6</v>
      </c>
      <c r="F171" s="4">
        <f t="shared" si="1"/>
        <v>0.4853414032</v>
      </c>
      <c r="G171" s="10">
        <f t="shared" si="2"/>
        <v>0.8349960051</v>
      </c>
    </row>
    <row r="172" hidden="1">
      <c r="A172" s="3">
        <v>171.0</v>
      </c>
      <c r="B172" s="3" t="s">
        <v>329</v>
      </c>
      <c r="C172" s="3">
        <v>-0.81</v>
      </c>
      <c r="D172" s="3">
        <v>106.1</v>
      </c>
      <c r="E172" s="3">
        <v>107.0</v>
      </c>
      <c r="F172" s="4">
        <f t="shared" si="1"/>
        <v>0.4788955744</v>
      </c>
      <c r="G172" s="10">
        <f t="shared" si="2"/>
        <v>0.8385222764</v>
      </c>
    </row>
    <row r="173" hidden="1">
      <c r="A173" s="3">
        <v>172.0</v>
      </c>
      <c r="B173" s="3" t="s">
        <v>330</v>
      </c>
      <c r="C173" s="3">
        <v>-0.85</v>
      </c>
      <c r="D173" s="3">
        <v>105.2</v>
      </c>
      <c r="E173" s="3">
        <v>106.0</v>
      </c>
      <c r="F173" s="4">
        <f t="shared" si="1"/>
        <v>0.4810695685</v>
      </c>
      <c r="G173" s="10">
        <f t="shared" si="2"/>
        <v>0.8373394458</v>
      </c>
    </row>
    <row r="174" hidden="1">
      <c r="A174" s="3">
        <v>173.0</v>
      </c>
      <c r="B174" s="3" t="s">
        <v>155</v>
      </c>
      <c r="C174" s="3">
        <v>-0.91</v>
      </c>
      <c r="D174" s="3">
        <v>101.1</v>
      </c>
      <c r="E174" s="3">
        <v>102.0</v>
      </c>
      <c r="F174" s="4">
        <f t="shared" si="1"/>
        <v>0.4778577734</v>
      </c>
      <c r="G174" s="10">
        <f t="shared" si="2"/>
        <v>0.8390846215</v>
      </c>
    </row>
    <row r="175" hidden="1">
      <c r="A175" s="3">
        <v>174.0</v>
      </c>
      <c r="B175" s="3" t="s">
        <v>331</v>
      </c>
      <c r="C175" s="3">
        <v>-0.97</v>
      </c>
      <c r="D175" s="3">
        <v>103.4</v>
      </c>
      <c r="E175" s="3">
        <v>104.4</v>
      </c>
      <c r="F175" s="4">
        <f t="shared" si="1"/>
        <v>0.4759567741</v>
      </c>
      <c r="G175" s="10">
        <f t="shared" si="2"/>
        <v>0.8401108648</v>
      </c>
    </row>
    <row r="176" hidden="1">
      <c r="A176" s="3">
        <v>175.0</v>
      </c>
      <c r="B176" s="3" t="s">
        <v>332</v>
      </c>
      <c r="C176" s="3">
        <v>-0.98</v>
      </c>
      <c r="D176" s="3">
        <v>108.4</v>
      </c>
      <c r="E176" s="3">
        <v>109.4</v>
      </c>
      <c r="F176" s="4">
        <f t="shared" si="1"/>
        <v>0.4770591158</v>
      </c>
      <c r="G176" s="10">
        <f t="shared" si="2"/>
        <v>0.8395163752</v>
      </c>
    </row>
    <row r="177" hidden="1">
      <c r="A177" s="3">
        <v>176.0</v>
      </c>
      <c r="B177" s="3" t="s">
        <v>333</v>
      </c>
      <c r="C177" s="3">
        <v>-1.11</v>
      </c>
      <c r="D177" s="3">
        <v>107.0</v>
      </c>
      <c r="E177" s="3">
        <v>108.1</v>
      </c>
      <c r="F177" s="4">
        <f t="shared" si="1"/>
        <v>0.4744525416</v>
      </c>
      <c r="G177" s="10">
        <f t="shared" si="2"/>
        <v>0.8409194184</v>
      </c>
    </row>
    <row r="178" hidden="1">
      <c r="A178" s="3">
        <v>177.0</v>
      </c>
      <c r="B178" s="3" t="s">
        <v>334</v>
      </c>
      <c r="C178" s="3">
        <v>-1.12</v>
      </c>
      <c r="D178" s="3">
        <v>102.3</v>
      </c>
      <c r="E178" s="3">
        <v>103.4</v>
      </c>
      <c r="F178" s="4">
        <f t="shared" si="1"/>
        <v>0.4732872361</v>
      </c>
      <c r="G178" s="10">
        <f t="shared" si="2"/>
        <v>0.8415436806</v>
      </c>
    </row>
    <row r="179" hidden="1">
      <c r="A179" s="3">
        <v>178.0</v>
      </c>
      <c r="B179" s="3" t="s">
        <v>335</v>
      </c>
      <c r="C179" s="3">
        <v>-1.15</v>
      </c>
      <c r="D179" s="3">
        <v>98.4</v>
      </c>
      <c r="E179" s="3">
        <v>99.5</v>
      </c>
      <c r="F179" s="4">
        <f t="shared" si="1"/>
        <v>0.4722364866</v>
      </c>
      <c r="G179" s="10">
        <f t="shared" si="2"/>
        <v>0.842105001</v>
      </c>
    </row>
    <row r="180" hidden="1">
      <c r="A180" s="3">
        <v>179.0</v>
      </c>
      <c r="B180" s="3" t="s">
        <v>336</v>
      </c>
      <c r="C180" s="3">
        <v>-1.86</v>
      </c>
      <c r="D180" s="3">
        <v>102.7</v>
      </c>
      <c r="E180" s="3">
        <v>104.6</v>
      </c>
      <c r="F180" s="4">
        <f t="shared" si="1"/>
        <v>0.4542993194</v>
      </c>
      <c r="G180" s="10">
        <f t="shared" si="2"/>
        <v>0.8514628036</v>
      </c>
    </row>
    <row r="181" hidden="1">
      <c r="A181" s="3">
        <v>180.0</v>
      </c>
      <c r="B181" s="3" t="s">
        <v>337</v>
      </c>
      <c r="C181" s="3">
        <v>-1.93</v>
      </c>
      <c r="D181" s="3">
        <v>100.7</v>
      </c>
      <c r="E181" s="3">
        <v>102.6</v>
      </c>
      <c r="F181" s="4">
        <f t="shared" si="1"/>
        <v>0.4534052553</v>
      </c>
      <c r="G181" s="10">
        <f t="shared" si="2"/>
        <v>0.8519184147</v>
      </c>
    </row>
    <row r="182" hidden="1">
      <c r="A182" s="3">
        <v>181.0</v>
      </c>
      <c r="B182" s="3" t="s">
        <v>338</v>
      </c>
      <c r="C182" s="3">
        <v>-2.21</v>
      </c>
      <c r="D182" s="3">
        <v>102.6</v>
      </c>
      <c r="E182" s="3">
        <v>104.8</v>
      </c>
      <c r="F182" s="4">
        <f t="shared" si="1"/>
        <v>0.4471584586</v>
      </c>
      <c r="G182" s="10">
        <f t="shared" si="2"/>
        <v>0.8550739634</v>
      </c>
    </row>
    <row r="183" hidden="1">
      <c r="A183" s="3">
        <v>182.0</v>
      </c>
      <c r="B183" s="3" t="s">
        <v>339</v>
      </c>
      <c r="C183" s="3">
        <v>-2.25</v>
      </c>
      <c r="D183" s="3">
        <v>100.4</v>
      </c>
      <c r="E183" s="3">
        <v>102.7</v>
      </c>
      <c r="F183" s="4">
        <f t="shared" si="1"/>
        <v>0.4436160699</v>
      </c>
      <c r="G183" s="10">
        <f t="shared" si="2"/>
        <v>0.8568420657</v>
      </c>
    </row>
    <row r="184" hidden="1">
      <c r="A184" s="3">
        <v>183.0</v>
      </c>
      <c r="B184" s="3" t="s">
        <v>163</v>
      </c>
      <c r="C184" s="3">
        <v>-2.26</v>
      </c>
      <c r="D184" s="3">
        <v>105.2</v>
      </c>
      <c r="E184" s="3">
        <v>107.4</v>
      </c>
      <c r="F184" s="4">
        <f t="shared" si="1"/>
        <v>0.4484417106</v>
      </c>
      <c r="G184" s="10">
        <f t="shared" si="2"/>
        <v>0.8544296728</v>
      </c>
    </row>
    <row r="185" hidden="1">
      <c r="A185" s="3">
        <v>184.0</v>
      </c>
      <c r="B185" s="3" t="s">
        <v>340</v>
      </c>
      <c r="C185" s="3">
        <v>-2.27</v>
      </c>
      <c r="D185" s="3">
        <v>103.0</v>
      </c>
      <c r="E185" s="3">
        <v>105.3</v>
      </c>
      <c r="F185" s="4">
        <f t="shared" si="1"/>
        <v>0.4450122308</v>
      </c>
      <c r="G185" s="10">
        <f t="shared" si="2"/>
        <v>0.8561470277</v>
      </c>
    </row>
    <row r="186" hidden="1">
      <c r="A186" s="3">
        <v>185.0</v>
      </c>
      <c r="B186" s="3" t="s">
        <v>152</v>
      </c>
      <c r="C186" s="3">
        <v>-2.31</v>
      </c>
      <c r="D186" s="3">
        <v>105.9</v>
      </c>
      <c r="E186" s="3">
        <v>108.2</v>
      </c>
      <c r="F186" s="4">
        <f t="shared" si="1"/>
        <v>0.4464904145</v>
      </c>
      <c r="G186" s="10">
        <f t="shared" si="2"/>
        <v>0.8554085732</v>
      </c>
    </row>
    <row r="187" hidden="1">
      <c r="A187" s="3">
        <v>186.0</v>
      </c>
      <c r="B187" s="3" t="s">
        <v>341</v>
      </c>
      <c r="C187" s="3">
        <v>-2.33</v>
      </c>
      <c r="D187" s="3">
        <v>103.3</v>
      </c>
      <c r="E187" s="3">
        <v>105.6</v>
      </c>
      <c r="F187" s="4">
        <f t="shared" si="1"/>
        <v>0.4451689076</v>
      </c>
      <c r="G187" s="10">
        <f t="shared" si="2"/>
        <v>0.856068883</v>
      </c>
    </row>
    <row r="188" hidden="1">
      <c r="A188" s="3">
        <v>187.0</v>
      </c>
      <c r="B188" s="3" t="s">
        <v>342</v>
      </c>
      <c r="C188" s="3">
        <v>-2.37</v>
      </c>
      <c r="D188" s="3">
        <v>108.4</v>
      </c>
      <c r="E188" s="3">
        <v>110.7</v>
      </c>
      <c r="F188" s="4">
        <f t="shared" si="1"/>
        <v>0.4477025974</v>
      </c>
      <c r="G188" s="10">
        <f t="shared" si="2"/>
        <v>0.8548010112</v>
      </c>
    </row>
    <row r="189" hidden="1">
      <c r="A189" s="3">
        <v>188.0</v>
      </c>
      <c r="B189" s="3" t="s">
        <v>343</v>
      </c>
      <c r="C189" s="3">
        <v>-2.41</v>
      </c>
      <c r="D189" s="3">
        <v>101.2</v>
      </c>
      <c r="E189" s="3">
        <v>103.6</v>
      </c>
      <c r="F189" s="4">
        <f t="shared" si="1"/>
        <v>0.4416703597</v>
      </c>
      <c r="G189" s="10">
        <f t="shared" si="2"/>
        <v>0.8578067497</v>
      </c>
    </row>
    <row r="190" hidden="1">
      <c r="A190" s="3">
        <v>189.0</v>
      </c>
      <c r="B190" s="3" t="s">
        <v>344</v>
      </c>
      <c r="C190" s="3">
        <v>-2.45</v>
      </c>
      <c r="D190" s="3">
        <v>104.8</v>
      </c>
      <c r="E190" s="3">
        <v>107.2</v>
      </c>
      <c r="F190" s="4">
        <f t="shared" si="1"/>
        <v>0.443634416</v>
      </c>
      <c r="G190" s="10">
        <f t="shared" si="2"/>
        <v>0.856832948</v>
      </c>
    </row>
    <row r="191" hidden="1">
      <c r="A191" s="3">
        <v>190.0</v>
      </c>
      <c r="B191" s="3" t="s">
        <v>345</v>
      </c>
      <c r="C191" s="3">
        <v>-2.47</v>
      </c>
      <c r="D191" s="3">
        <v>103.2</v>
      </c>
      <c r="E191" s="3">
        <v>105.7</v>
      </c>
      <c r="F191" s="4">
        <f t="shared" si="1"/>
        <v>0.4404439765</v>
      </c>
      <c r="G191" s="10">
        <f t="shared" si="2"/>
        <v>0.8584124522</v>
      </c>
    </row>
    <row r="192" hidden="1">
      <c r="A192" s="3">
        <v>191.0</v>
      </c>
      <c r="B192" s="3" t="s">
        <v>346</v>
      </c>
      <c r="C192" s="3">
        <v>-2.47</v>
      </c>
      <c r="D192" s="3">
        <v>104.3</v>
      </c>
      <c r="E192" s="3">
        <v>106.7</v>
      </c>
      <c r="F192" s="4">
        <f t="shared" si="1"/>
        <v>0.4433695428</v>
      </c>
      <c r="G192" s="10">
        <f t="shared" si="2"/>
        <v>0.8569645467</v>
      </c>
    </row>
    <row r="193" hidden="1">
      <c r="A193" s="3">
        <v>192.0</v>
      </c>
      <c r="B193" s="3" t="s">
        <v>347</v>
      </c>
      <c r="C193" s="3">
        <v>-2.5</v>
      </c>
      <c r="D193" s="3">
        <v>110.6</v>
      </c>
      <c r="E193" s="3">
        <v>113.1</v>
      </c>
      <c r="F193" s="4">
        <f t="shared" si="1"/>
        <v>0.4443507701</v>
      </c>
      <c r="G193" s="10">
        <f t="shared" si="2"/>
        <v>0.8564766114</v>
      </c>
    </row>
    <row r="194" hidden="1">
      <c r="A194" s="3">
        <v>193.0</v>
      </c>
      <c r="B194" s="3" t="s">
        <v>169</v>
      </c>
      <c r="C194" s="3">
        <v>-2.57</v>
      </c>
      <c r="D194" s="3">
        <v>107.5</v>
      </c>
      <c r="E194" s="3">
        <v>110.1</v>
      </c>
      <c r="F194" s="4">
        <f t="shared" si="1"/>
        <v>0.4405372455</v>
      </c>
      <c r="G194" s="10">
        <f t="shared" si="2"/>
        <v>0.8583664506</v>
      </c>
    </row>
    <row r="195" hidden="1">
      <c r="A195" s="3">
        <v>194.0</v>
      </c>
      <c r="B195" s="3" t="s">
        <v>348</v>
      </c>
      <c r="C195" s="3">
        <v>-2.62</v>
      </c>
      <c r="D195" s="3">
        <v>106.7</v>
      </c>
      <c r="E195" s="3">
        <v>109.3</v>
      </c>
      <c r="F195" s="4">
        <f t="shared" si="1"/>
        <v>0.4401009496</v>
      </c>
      <c r="G195" s="10">
        <f t="shared" si="2"/>
        <v>0.8585815486</v>
      </c>
    </row>
    <row r="196" hidden="1">
      <c r="A196" s="3">
        <v>195.0</v>
      </c>
      <c r="B196" s="3" t="s">
        <v>349</v>
      </c>
      <c r="C196" s="3">
        <v>-2.74</v>
      </c>
      <c r="D196" s="3">
        <v>106.1</v>
      </c>
      <c r="E196" s="3">
        <v>108.8</v>
      </c>
      <c r="F196" s="4">
        <f t="shared" si="1"/>
        <v>0.4375053009</v>
      </c>
      <c r="G196" s="10">
        <f t="shared" si="2"/>
        <v>0.85985654</v>
      </c>
    </row>
    <row r="197" hidden="1">
      <c r="A197" s="3">
        <v>196.0</v>
      </c>
      <c r="B197" s="3" t="s">
        <v>350</v>
      </c>
      <c r="C197" s="3">
        <v>-2.76</v>
      </c>
      <c r="D197" s="3">
        <v>100.9</v>
      </c>
      <c r="E197" s="3">
        <v>103.6</v>
      </c>
      <c r="F197" s="4">
        <f t="shared" si="1"/>
        <v>0.4343624877</v>
      </c>
      <c r="G197" s="10">
        <f t="shared" si="2"/>
        <v>0.8613896366</v>
      </c>
    </row>
    <row r="198" hidden="1">
      <c r="A198" s="3">
        <v>197.0</v>
      </c>
      <c r="B198" s="3" t="s">
        <v>351</v>
      </c>
      <c r="C198" s="3">
        <v>-2.78</v>
      </c>
      <c r="D198" s="3">
        <v>106.1</v>
      </c>
      <c r="E198" s="3">
        <v>108.9</v>
      </c>
      <c r="F198" s="4">
        <f t="shared" si="1"/>
        <v>0.4352457558</v>
      </c>
      <c r="G198" s="10">
        <f t="shared" si="2"/>
        <v>0.8609599425</v>
      </c>
    </row>
    <row r="199" hidden="1">
      <c r="A199" s="3">
        <v>198.0</v>
      </c>
      <c r="B199" s="3" t="s">
        <v>352</v>
      </c>
      <c r="C199" s="3">
        <v>-2.82</v>
      </c>
      <c r="D199" s="3">
        <v>105.7</v>
      </c>
      <c r="E199" s="3">
        <v>108.6</v>
      </c>
      <c r="F199" s="4">
        <f t="shared" si="1"/>
        <v>0.4327438099</v>
      </c>
      <c r="G199" s="10">
        <f t="shared" si="2"/>
        <v>0.8621747273</v>
      </c>
    </row>
    <row r="200" hidden="1">
      <c r="A200" s="3">
        <v>199.0</v>
      </c>
      <c r="B200" s="3" t="s">
        <v>353</v>
      </c>
      <c r="C200" s="3">
        <v>-2.83</v>
      </c>
      <c r="D200" s="3">
        <v>111.5</v>
      </c>
      <c r="E200" s="3">
        <v>114.4</v>
      </c>
      <c r="F200" s="4">
        <f t="shared" si="1"/>
        <v>0.4361591379</v>
      </c>
      <c r="G200" s="10">
        <f t="shared" si="2"/>
        <v>0.8605146354</v>
      </c>
    </row>
    <row r="201" hidden="1">
      <c r="A201" s="3">
        <v>200.0</v>
      </c>
      <c r="B201" s="3" t="s">
        <v>354</v>
      </c>
      <c r="C201" s="3">
        <v>-2.94</v>
      </c>
      <c r="D201" s="3">
        <v>102.0</v>
      </c>
      <c r="E201" s="3">
        <v>105.0</v>
      </c>
      <c r="F201" s="4">
        <f t="shared" si="1"/>
        <v>0.4280343791</v>
      </c>
      <c r="G201" s="10">
        <f t="shared" si="2"/>
        <v>0.8644416263</v>
      </c>
    </row>
    <row r="202">
      <c r="A202" s="3">
        <v>161.0</v>
      </c>
      <c r="B202" s="3" t="s">
        <v>355</v>
      </c>
      <c r="C202" s="4">
        <f>+0.35</f>
        <v>0.35</v>
      </c>
      <c r="D202" s="3">
        <v>105.5</v>
      </c>
      <c r="E202" s="3">
        <v>105.2</v>
      </c>
      <c r="F202" s="4">
        <f t="shared" si="1"/>
        <v>0.5071186505</v>
      </c>
      <c r="G202" s="10">
        <f t="shared" si="2"/>
        <v>0.8226388939</v>
      </c>
      <c r="H202" s="3">
        <v>18.0</v>
      </c>
      <c r="I202" s="12">
        <f>3*(1-G403)-8.773284334</f>
        <v>-5.773284334</v>
      </c>
    </row>
    <row r="203" hidden="1">
      <c r="A203" s="3">
        <v>202.0</v>
      </c>
      <c r="B203" s="3" t="s">
        <v>356</v>
      </c>
      <c r="C203" s="3">
        <v>-3.25</v>
      </c>
      <c r="D203" s="3">
        <v>107.6</v>
      </c>
      <c r="E203" s="3">
        <v>110.8</v>
      </c>
      <c r="F203" s="4">
        <f t="shared" si="1"/>
        <v>0.4272545842</v>
      </c>
      <c r="G203" s="10">
        <f t="shared" si="2"/>
        <v>0.8648145237</v>
      </c>
    </row>
    <row r="204" hidden="1">
      <c r="A204" s="3">
        <v>203.0</v>
      </c>
      <c r="B204" s="3" t="s">
        <v>357</v>
      </c>
      <c r="C204" s="3">
        <v>-3.41</v>
      </c>
      <c r="D204" s="3">
        <v>107.3</v>
      </c>
      <c r="E204" s="3">
        <v>110.7</v>
      </c>
      <c r="F204" s="4">
        <f t="shared" si="1"/>
        <v>0.4226383737</v>
      </c>
      <c r="G204" s="10">
        <f t="shared" si="2"/>
        <v>0.867007854</v>
      </c>
    </row>
    <row r="205" hidden="1">
      <c r="A205" s="3">
        <v>204.0</v>
      </c>
      <c r="B205" s="3" t="s">
        <v>358</v>
      </c>
      <c r="C205" s="3">
        <v>-3.59</v>
      </c>
      <c r="D205" s="3">
        <v>102.3</v>
      </c>
      <c r="E205" s="3">
        <v>105.9</v>
      </c>
      <c r="F205" s="4">
        <f t="shared" si="1"/>
        <v>0.4143877391</v>
      </c>
      <c r="G205" s="10">
        <f t="shared" si="2"/>
        <v>0.8708687399</v>
      </c>
    </row>
    <row r="206" hidden="1">
      <c r="A206" s="3">
        <v>205.0</v>
      </c>
      <c r="B206" s="3" t="s">
        <v>359</v>
      </c>
      <c r="C206" s="3">
        <v>-3.63</v>
      </c>
      <c r="D206" s="3">
        <v>106.2</v>
      </c>
      <c r="E206" s="3">
        <v>109.8</v>
      </c>
      <c r="F206" s="4">
        <f t="shared" si="1"/>
        <v>0.4174222867</v>
      </c>
      <c r="G206" s="10">
        <f t="shared" si="2"/>
        <v>0.8694574607</v>
      </c>
    </row>
    <row r="207" hidden="1">
      <c r="A207" s="3">
        <v>206.0</v>
      </c>
      <c r="B207" s="3" t="s">
        <v>360</v>
      </c>
      <c r="C207" s="3">
        <v>-3.85</v>
      </c>
      <c r="D207" s="3">
        <v>106.7</v>
      </c>
      <c r="E207" s="3">
        <v>110.5</v>
      </c>
      <c r="F207" s="4">
        <f t="shared" si="1"/>
        <v>0.4133960916</v>
      </c>
      <c r="G207" s="10">
        <f t="shared" si="2"/>
        <v>0.8713277459</v>
      </c>
    </row>
    <row r="208" hidden="1">
      <c r="A208" s="3">
        <v>207.0</v>
      </c>
      <c r="B208" s="3" t="s">
        <v>361</v>
      </c>
      <c r="C208" s="3">
        <v>-3.86</v>
      </c>
      <c r="D208" s="3">
        <v>101.8</v>
      </c>
      <c r="E208" s="3">
        <v>105.6</v>
      </c>
      <c r="F208" s="4">
        <f t="shared" si="1"/>
        <v>0.4093912047</v>
      </c>
      <c r="G208" s="10">
        <f t="shared" si="2"/>
        <v>0.8731706724</v>
      </c>
    </row>
    <row r="209" hidden="1">
      <c r="A209" s="3">
        <v>208.0</v>
      </c>
      <c r="B209" s="3" t="s">
        <v>362</v>
      </c>
      <c r="C209" s="3">
        <v>-3.92</v>
      </c>
      <c r="D209" s="3">
        <v>102.1</v>
      </c>
      <c r="E209" s="3">
        <v>106.1</v>
      </c>
      <c r="F209" s="4">
        <f t="shared" si="1"/>
        <v>0.4050918471</v>
      </c>
      <c r="G209" s="10">
        <f t="shared" si="2"/>
        <v>0.8751300016</v>
      </c>
    </row>
    <row r="210" hidden="1">
      <c r="A210" s="3">
        <v>209.0</v>
      </c>
      <c r="B210" s="3" t="s">
        <v>363</v>
      </c>
      <c r="C210" s="3">
        <v>-3.94</v>
      </c>
      <c r="D210" s="3">
        <v>104.4</v>
      </c>
      <c r="E210" s="3">
        <v>108.4</v>
      </c>
      <c r="F210" s="4">
        <f t="shared" si="1"/>
        <v>0.4070958387</v>
      </c>
      <c r="G210" s="10">
        <f t="shared" si="2"/>
        <v>0.8742191737</v>
      </c>
    </row>
    <row r="211" hidden="1">
      <c r="A211" s="3">
        <v>210.0</v>
      </c>
      <c r="B211" s="3" t="s">
        <v>364</v>
      </c>
      <c r="C211" s="3">
        <v>-3.97</v>
      </c>
      <c r="D211" s="3">
        <v>104.3</v>
      </c>
      <c r="E211" s="3">
        <v>108.3</v>
      </c>
      <c r="F211" s="4">
        <f t="shared" si="1"/>
        <v>0.407010449</v>
      </c>
      <c r="G211" s="10">
        <f t="shared" si="2"/>
        <v>0.8742580707</v>
      </c>
    </row>
    <row r="212" hidden="1">
      <c r="A212" s="3">
        <v>211.0</v>
      </c>
      <c r="B212" s="3" t="s">
        <v>365</v>
      </c>
      <c r="C212" s="3">
        <v>-4.02</v>
      </c>
      <c r="D212" s="3">
        <v>107.0</v>
      </c>
      <c r="E212" s="3">
        <v>111.0</v>
      </c>
      <c r="F212" s="4">
        <f t="shared" si="1"/>
        <v>0.4092628211</v>
      </c>
      <c r="G212" s="10">
        <f t="shared" si="2"/>
        <v>0.8732294653</v>
      </c>
    </row>
    <row r="213" hidden="1">
      <c r="A213" s="3">
        <v>212.0</v>
      </c>
      <c r="B213" s="3" t="s">
        <v>366</v>
      </c>
      <c r="C213" s="3">
        <v>-4.03</v>
      </c>
      <c r="D213" s="3">
        <v>96.8</v>
      </c>
      <c r="E213" s="3">
        <v>100.9</v>
      </c>
      <c r="F213" s="4">
        <f t="shared" si="1"/>
        <v>0.3977547055</v>
      </c>
      <c r="G213" s="10">
        <f t="shared" si="2"/>
        <v>0.8784288677</v>
      </c>
    </row>
    <row r="214" hidden="1">
      <c r="A214" s="3">
        <v>213.0</v>
      </c>
      <c r="B214" s="3" t="s">
        <v>367</v>
      </c>
      <c r="C214" s="3">
        <v>-4.08</v>
      </c>
      <c r="D214" s="3">
        <v>109.3</v>
      </c>
      <c r="E214" s="3">
        <v>113.3</v>
      </c>
      <c r="F214" s="4">
        <f t="shared" si="1"/>
        <v>0.4110981038</v>
      </c>
      <c r="G214" s="10">
        <f t="shared" si="2"/>
        <v>0.8723873232</v>
      </c>
    </row>
    <row r="215" hidden="1">
      <c r="A215" s="3">
        <v>214.0</v>
      </c>
      <c r="B215" s="3" t="s">
        <v>368</v>
      </c>
      <c r="C215" s="3">
        <v>-4.1</v>
      </c>
      <c r="D215" s="3">
        <v>101.3</v>
      </c>
      <c r="E215" s="3">
        <v>105.3</v>
      </c>
      <c r="F215" s="4">
        <f t="shared" si="1"/>
        <v>0.404374646</v>
      </c>
      <c r="G215" s="10">
        <f t="shared" si="2"/>
        <v>0.8754549438</v>
      </c>
    </row>
    <row r="216" hidden="1">
      <c r="A216" s="3">
        <v>215.0</v>
      </c>
      <c r="B216" s="3" t="s">
        <v>369</v>
      </c>
      <c r="C216" s="3">
        <v>-4.15</v>
      </c>
      <c r="D216" s="3">
        <v>97.0</v>
      </c>
      <c r="E216" s="3">
        <v>101.1</v>
      </c>
      <c r="F216" s="4">
        <f t="shared" si="1"/>
        <v>0.3979554276</v>
      </c>
      <c r="G216" s="10">
        <f t="shared" si="2"/>
        <v>0.8783393634</v>
      </c>
    </row>
    <row r="217" hidden="1">
      <c r="A217" s="3">
        <v>216.0</v>
      </c>
      <c r="B217" s="3" t="s">
        <v>370</v>
      </c>
      <c r="C217" s="3">
        <v>-4.2</v>
      </c>
      <c r="D217" s="3">
        <v>106.6</v>
      </c>
      <c r="E217" s="3">
        <v>110.8</v>
      </c>
      <c r="F217" s="4">
        <f t="shared" si="1"/>
        <v>0.4045763676</v>
      </c>
      <c r="G217" s="10">
        <f t="shared" si="2"/>
        <v>0.8753636046</v>
      </c>
    </row>
    <row r="218" hidden="1">
      <c r="A218" s="3">
        <v>217.0</v>
      </c>
      <c r="B218" s="3" t="s">
        <v>371</v>
      </c>
      <c r="C218" s="3">
        <v>-4.21</v>
      </c>
      <c r="D218" s="3">
        <v>104.7</v>
      </c>
      <c r="E218" s="3">
        <v>108.9</v>
      </c>
      <c r="F218" s="4">
        <f t="shared" si="1"/>
        <v>0.4029209517</v>
      </c>
      <c r="G218" s="10">
        <f t="shared" si="2"/>
        <v>0.8761119106</v>
      </c>
    </row>
    <row r="219" hidden="1">
      <c r="A219" s="3">
        <v>218.0</v>
      </c>
      <c r="B219" s="3" t="s">
        <v>372</v>
      </c>
      <c r="C219" s="3">
        <v>-4.31</v>
      </c>
      <c r="D219" s="3">
        <v>105.7</v>
      </c>
      <c r="E219" s="3">
        <v>110.0</v>
      </c>
      <c r="F219" s="4">
        <f t="shared" si="1"/>
        <v>0.4016115663</v>
      </c>
      <c r="G219" s="10">
        <f t="shared" si="2"/>
        <v>0.8767017665</v>
      </c>
    </row>
    <row r="220" hidden="1">
      <c r="A220" s="3">
        <v>219.0</v>
      </c>
      <c r="B220" s="3" t="s">
        <v>373</v>
      </c>
      <c r="C220" s="3">
        <v>-4.41</v>
      </c>
      <c r="D220" s="3">
        <v>104.3</v>
      </c>
      <c r="E220" s="3">
        <v>108.7</v>
      </c>
      <c r="F220" s="4">
        <f t="shared" si="1"/>
        <v>0.3981440345</v>
      </c>
      <c r="G220" s="10">
        <f t="shared" si="2"/>
        <v>0.8782552236</v>
      </c>
    </row>
    <row r="221">
      <c r="A221" s="3">
        <v>259.0</v>
      </c>
      <c r="B221" s="3" t="s">
        <v>374</v>
      </c>
      <c r="C221" s="3">
        <v>-7.09</v>
      </c>
      <c r="D221" s="3">
        <v>100.1</v>
      </c>
      <c r="E221" s="3">
        <v>107.2</v>
      </c>
      <c r="F221" s="4">
        <f t="shared" si="1"/>
        <v>0.3350870852</v>
      </c>
      <c r="G221" s="10">
        <f t="shared" si="2"/>
        <v>0.9044840727</v>
      </c>
      <c r="H221" s="3">
        <v>17.0</v>
      </c>
      <c r="I221" s="12">
        <f>3*(1-G324)-8.88812624199999</f>
        <v>-8.737584402</v>
      </c>
    </row>
    <row r="222" hidden="1">
      <c r="A222" s="3">
        <v>221.0</v>
      </c>
      <c r="B222" s="3" t="s">
        <v>375</v>
      </c>
      <c r="C222" s="3">
        <v>-4.55</v>
      </c>
      <c r="D222" s="3">
        <v>104.4</v>
      </c>
      <c r="E222" s="3">
        <v>109.0</v>
      </c>
      <c r="F222" s="4">
        <f t="shared" si="1"/>
        <v>0.3938441</v>
      </c>
      <c r="G222" s="10">
        <f t="shared" si="2"/>
        <v>0.8801644236</v>
      </c>
    </row>
    <row r="223" hidden="1">
      <c r="A223" s="3">
        <v>222.0</v>
      </c>
      <c r="B223" s="3" t="s">
        <v>376</v>
      </c>
      <c r="C223" s="3">
        <v>-4.6</v>
      </c>
      <c r="D223" s="3">
        <v>108.0</v>
      </c>
      <c r="E223" s="3">
        <v>112.6</v>
      </c>
      <c r="F223" s="4">
        <f t="shared" si="1"/>
        <v>0.3972097327</v>
      </c>
      <c r="G223" s="10">
        <f t="shared" si="2"/>
        <v>0.8786716687</v>
      </c>
    </row>
    <row r="224" hidden="1">
      <c r="A224" s="3">
        <v>223.0</v>
      </c>
      <c r="B224" s="3" t="s">
        <v>377</v>
      </c>
      <c r="C224" s="3">
        <v>-4.65</v>
      </c>
      <c r="D224" s="3">
        <v>103.5</v>
      </c>
      <c r="E224" s="3">
        <v>108.2</v>
      </c>
      <c r="F224" s="4">
        <f t="shared" si="1"/>
        <v>0.3907650425</v>
      </c>
      <c r="G224" s="10">
        <f t="shared" si="2"/>
        <v>0.8815200081</v>
      </c>
    </row>
    <row r="225" hidden="1">
      <c r="A225" s="3">
        <v>224.0</v>
      </c>
      <c r="B225" s="3" t="s">
        <v>378</v>
      </c>
      <c r="C225" s="3">
        <v>-4.66</v>
      </c>
      <c r="D225" s="3">
        <v>106.1</v>
      </c>
      <c r="E225" s="3">
        <v>110.8</v>
      </c>
      <c r="F225" s="4">
        <f t="shared" si="1"/>
        <v>0.3933034524</v>
      </c>
      <c r="G225" s="10">
        <f t="shared" si="2"/>
        <v>0.880403142</v>
      </c>
    </row>
    <row r="226" hidden="1">
      <c r="A226" s="3">
        <v>225.0</v>
      </c>
      <c r="B226" s="3" t="s">
        <v>379</v>
      </c>
      <c r="C226" s="3">
        <v>-4.68</v>
      </c>
      <c r="D226" s="3">
        <v>102.8</v>
      </c>
      <c r="E226" s="3">
        <v>107.5</v>
      </c>
      <c r="F226" s="4">
        <f t="shared" si="1"/>
        <v>0.3900612069</v>
      </c>
      <c r="G226" s="10">
        <f t="shared" si="2"/>
        <v>0.8818285389</v>
      </c>
    </row>
    <row r="227" hidden="1">
      <c r="A227" s="3">
        <v>226.0</v>
      </c>
      <c r="B227" s="3" t="s">
        <v>120</v>
      </c>
      <c r="C227" s="3">
        <v>-4.86</v>
      </c>
      <c r="D227" s="3">
        <v>103.5</v>
      </c>
      <c r="E227" s="3">
        <v>108.4</v>
      </c>
      <c r="F227" s="4">
        <f t="shared" si="1"/>
        <v>0.3863775674</v>
      </c>
      <c r="G227" s="10">
        <f t="shared" si="2"/>
        <v>0.8834352228</v>
      </c>
    </row>
    <row r="228" hidden="1">
      <c r="A228" s="3">
        <v>227.0</v>
      </c>
      <c r="B228" s="3" t="s">
        <v>380</v>
      </c>
      <c r="C228" s="3">
        <v>-4.94</v>
      </c>
      <c r="D228" s="3">
        <v>107.4</v>
      </c>
      <c r="E228" s="3">
        <v>112.4</v>
      </c>
      <c r="F228" s="4">
        <f t="shared" si="1"/>
        <v>0.3881637122</v>
      </c>
      <c r="G228" s="10">
        <f t="shared" si="2"/>
        <v>0.8826578501</v>
      </c>
    </row>
    <row r="229" hidden="1">
      <c r="A229" s="3">
        <v>228.0</v>
      </c>
      <c r="B229" s="3" t="s">
        <v>381</v>
      </c>
      <c r="C229" s="3">
        <v>-4.95</v>
      </c>
      <c r="D229" s="3">
        <v>102.0</v>
      </c>
      <c r="E229" s="3">
        <v>106.9</v>
      </c>
      <c r="F229" s="4">
        <f t="shared" si="1"/>
        <v>0.3848032318</v>
      </c>
      <c r="G229" s="10">
        <f t="shared" si="2"/>
        <v>0.8841177954</v>
      </c>
    </row>
    <row r="230" hidden="1">
      <c r="A230" s="3">
        <v>229.0</v>
      </c>
      <c r="B230" s="3" t="s">
        <v>382</v>
      </c>
      <c r="C230" s="3">
        <v>-5.09</v>
      </c>
      <c r="D230" s="3">
        <v>106.6</v>
      </c>
      <c r="E230" s="3">
        <v>111.7</v>
      </c>
      <c r="F230" s="4">
        <f t="shared" si="1"/>
        <v>0.3852479309</v>
      </c>
      <c r="G230" s="10">
        <f t="shared" si="2"/>
        <v>0.8839252381</v>
      </c>
    </row>
    <row r="231" hidden="1">
      <c r="A231" s="3">
        <v>230.0</v>
      </c>
      <c r="B231" s="3" t="s">
        <v>383</v>
      </c>
      <c r="C231" s="3">
        <v>-5.1</v>
      </c>
      <c r="D231" s="3">
        <v>104.0</v>
      </c>
      <c r="E231" s="3">
        <v>109.0</v>
      </c>
      <c r="F231" s="4">
        <f t="shared" si="1"/>
        <v>0.3847180639</v>
      </c>
      <c r="G231" s="10">
        <f t="shared" si="2"/>
        <v>0.8841546513</v>
      </c>
    </row>
    <row r="232" hidden="1">
      <c r="A232" s="3">
        <v>231.0</v>
      </c>
      <c r="B232" s="3" t="s">
        <v>384</v>
      </c>
      <c r="C232" s="3">
        <v>-5.23</v>
      </c>
      <c r="D232" s="3">
        <v>97.3</v>
      </c>
      <c r="E232" s="3">
        <v>102.5</v>
      </c>
      <c r="F232" s="4">
        <f t="shared" si="1"/>
        <v>0.3727030381</v>
      </c>
      <c r="G232" s="10">
        <f t="shared" si="2"/>
        <v>0.8892835938</v>
      </c>
    </row>
    <row r="233" hidden="1">
      <c r="A233" s="3">
        <v>232.0</v>
      </c>
      <c r="B233" s="3" t="s">
        <v>385</v>
      </c>
      <c r="C233" s="3">
        <v>-5.39</v>
      </c>
      <c r="D233" s="3">
        <v>106.7</v>
      </c>
      <c r="E233" s="3">
        <v>112.1</v>
      </c>
      <c r="F233" s="4">
        <f t="shared" si="1"/>
        <v>0.3790219261</v>
      </c>
      <c r="G233" s="10">
        <f t="shared" si="2"/>
        <v>0.8866035438</v>
      </c>
    </row>
    <row r="234" hidden="1">
      <c r="A234" s="3">
        <v>233.0</v>
      </c>
      <c r="B234" s="3" t="s">
        <v>386</v>
      </c>
      <c r="C234" s="3">
        <v>-5.41</v>
      </c>
      <c r="D234" s="3">
        <v>100.1</v>
      </c>
      <c r="E234" s="3">
        <v>105.5</v>
      </c>
      <c r="F234" s="4">
        <f t="shared" si="1"/>
        <v>0.3715874449</v>
      </c>
      <c r="G234" s="10">
        <f t="shared" si="2"/>
        <v>0.8897528169</v>
      </c>
    </row>
    <row r="235" hidden="1">
      <c r="A235" s="3">
        <v>234.0</v>
      </c>
      <c r="B235" s="3" t="s">
        <v>387</v>
      </c>
      <c r="C235" s="3">
        <v>-5.43</v>
      </c>
      <c r="D235" s="3">
        <v>104.5</v>
      </c>
      <c r="E235" s="3">
        <v>109.9</v>
      </c>
      <c r="F235" s="4">
        <f t="shared" si="1"/>
        <v>0.3766391728</v>
      </c>
      <c r="G235" s="10">
        <f t="shared" si="2"/>
        <v>0.8876186258</v>
      </c>
    </row>
    <row r="236" hidden="1">
      <c r="A236" s="3">
        <v>235.0</v>
      </c>
      <c r="B236" s="3" t="s">
        <v>388</v>
      </c>
      <c r="C236" s="3">
        <v>-5.45</v>
      </c>
      <c r="D236" s="3">
        <v>100.1</v>
      </c>
      <c r="E236" s="3">
        <v>105.5</v>
      </c>
      <c r="F236" s="4">
        <f t="shared" si="1"/>
        <v>0.3715874449</v>
      </c>
      <c r="G236" s="10">
        <f t="shared" si="2"/>
        <v>0.8897528169</v>
      </c>
    </row>
    <row r="237" hidden="1">
      <c r="A237" s="3">
        <v>236.0</v>
      </c>
      <c r="B237" s="3" t="s">
        <v>389</v>
      </c>
      <c r="C237" s="3">
        <v>-5.48</v>
      </c>
      <c r="D237" s="3">
        <v>105.4</v>
      </c>
      <c r="E237" s="3">
        <v>110.9</v>
      </c>
      <c r="F237" s="4">
        <f t="shared" si="1"/>
        <v>0.3755070997</v>
      </c>
      <c r="G237" s="10">
        <f t="shared" si="2"/>
        <v>0.8880989972</v>
      </c>
    </row>
    <row r="238" hidden="1">
      <c r="A238" s="3">
        <v>237.0</v>
      </c>
      <c r="B238" s="3" t="s">
        <v>390</v>
      </c>
      <c r="C238" s="3">
        <v>-5.53</v>
      </c>
      <c r="D238" s="3">
        <v>103.5</v>
      </c>
      <c r="E238" s="3">
        <v>109.0</v>
      </c>
      <c r="F238" s="4">
        <f t="shared" si="1"/>
        <v>0.373375539</v>
      </c>
      <c r="G238" s="10">
        <f t="shared" si="2"/>
        <v>0.8890001699</v>
      </c>
    </row>
    <row r="239" hidden="1">
      <c r="A239" s="3">
        <v>238.0</v>
      </c>
      <c r="B239" s="3" t="s">
        <v>391</v>
      </c>
      <c r="C239" s="3">
        <v>-5.55</v>
      </c>
      <c r="D239" s="3">
        <v>101.4</v>
      </c>
      <c r="E239" s="3">
        <v>106.9</v>
      </c>
      <c r="F239" s="4">
        <f t="shared" si="1"/>
        <v>0.3709351111</v>
      </c>
      <c r="G239" s="10">
        <f t="shared" si="2"/>
        <v>0.8900266488</v>
      </c>
    </row>
    <row r="240" hidden="1">
      <c r="A240" s="3">
        <v>239.0</v>
      </c>
      <c r="B240" s="3" t="s">
        <v>392</v>
      </c>
      <c r="C240" s="3">
        <v>-5.57</v>
      </c>
      <c r="D240" s="3">
        <v>102.4</v>
      </c>
      <c r="E240" s="3">
        <v>107.9</v>
      </c>
      <c r="F240" s="4">
        <f t="shared" si="1"/>
        <v>0.3721085715</v>
      </c>
      <c r="G240" s="10">
        <f t="shared" si="2"/>
        <v>0.8895337749</v>
      </c>
    </row>
    <row r="241" hidden="1">
      <c r="A241" s="3">
        <v>240.0</v>
      </c>
      <c r="B241" s="3" t="s">
        <v>393</v>
      </c>
      <c r="C241" s="3">
        <v>-5.61</v>
      </c>
      <c r="D241" s="3">
        <v>107.1</v>
      </c>
      <c r="E241" s="3">
        <v>112.7</v>
      </c>
      <c r="F241" s="4">
        <f t="shared" si="1"/>
        <v>0.3752721929</v>
      </c>
      <c r="G241" s="10">
        <f t="shared" si="2"/>
        <v>0.8881985219</v>
      </c>
    </row>
    <row r="242" hidden="1">
      <c r="A242" s="3">
        <v>241.0</v>
      </c>
      <c r="B242" s="3" t="s">
        <v>394</v>
      </c>
      <c r="C242" s="3">
        <v>-5.63</v>
      </c>
      <c r="D242" s="3">
        <v>103.3</v>
      </c>
      <c r="E242" s="3">
        <v>109.0</v>
      </c>
      <c r="F242" s="4">
        <f t="shared" si="1"/>
        <v>0.3688612755</v>
      </c>
      <c r="G242" s="10">
        <f t="shared" si="2"/>
        <v>0.89089454</v>
      </c>
    </row>
    <row r="243" hidden="1">
      <c r="A243" s="3">
        <v>242.0</v>
      </c>
      <c r="B243" s="3" t="s">
        <v>395</v>
      </c>
      <c r="C243" s="3">
        <v>-5.73</v>
      </c>
      <c r="D243" s="3">
        <v>106.0</v>
      </c>
      <c r="E243" s="3">
        <v>111.8</v>
      </c>
      <c r="F243" s="4">
        <f t="shared" si="1"/>
        <v>0.3698816274</v>
      </c>
      <c r="G243" s="10">
        <f t="shared" si="2"/>
        <v>0.8904680296</v>
      </c>
    </row>
    <row r="244" hidden="1">
      <c r="A244" s="3">
        <v>243.0</v>
      </c>
      <c r="B244" s="3" t="s">
        <v>396</v>
      </c>
      <c r="C244" s="3">
        <v>-5.77</v>
      </c>
      <c r="D244" s="3">
        <v>101.3</v>
      </c>
      <c r="E244" s="3">
        <v>107.1</v>
      </c>
      <c r="F244" s="4">
        <f t="shared" si="1"/>
        <v>0.3642961529</v>
      </c>
      <c r="G244" s="10">
        <f t="shared" si="2"/>
        <v>0.8927909438</v>
      </c>
    </row>
    <row r="245" hidden="1">
      <c r="A245" s="3">
        <v>244.0</v>
      </c>
      <c r="B245" s="3" t="s">
        <v>397</v>
      </c>
      <c r="C245" s="3">
        <v>-5.82</v>
      </c>
      <c r="D245" s="3">
        <v>105.3</v>
      </c>
      <c r="E245" s="3">
        <v>111.1</v>
      </c>
      <c r="F245" s="4">
        <f t="shared" si="1"/>
        <v>0.3690783406</v>
      </c>
      <c r="G245" s="10">
        <f t="shared" si="2"/>
        <v>0.8908038874</v>
      </c>
    </row>
    <row r="246" hidden="1">
      <c r="A246" s="3">
        <v>245.0</v>
      </c>
      <c r="B246" s="3" t="s">
        <v>398</v>
      </c>
      <c r="C246" s="3">
        <v>-5.92</v>
      </c>
      <c r="D246" s="3">
        <v>108.2</v>
      </c>
      <c r="E246" s="3">
        <v>114.1</v>
      </c>
      <c r="F246" s="4">
        <f t="shared" si="1"/>
        <v>0.3702979301</v>
      </c>
      <c r="G246" s="10">
        <f t="shared" si="2"/>
        <v>0.8902937344</v>
      </c>
    </row>
    <row r="247" hidden="1">
      <c r="A247" s="3">
        <v>246.0</v>
      </c>
      <c r="B247" s="3" t="s">
        <v>399</v>
      </c>
      <c r="C247" s="3">
        <v>-5.95</v>
      </c>
      <c r="D247" s="3">
        <v>100.0</v>
      </c>
      <c r="E247" s="3">
        <v>106.0</v>
      </c>
      <c r="F247" s="4">
        <f t="shared" si="1"/>
        <v>0.3583140711</v>
      </c>
      <c r="G247" s="10">
        <f t="shared" si="2"/>
        <v>0.895247064</v>
      </c>
    </row>
    <row r="248" hidden="1">
      <c r="A248" s="3">
        <v>247.0</v>
      </c>
      <c r="B248" s="3" t="s">
        <v>400</v>
      </c>
      <c r="C248" s="3">
        <v>-6.05</v>
      </c>
      <c r="D248" s="3">
        <v>101.1</v>
      </c>
      <c r="E248" s="3">
        <v>107.2</v>
      </c>
      <c r="F248" s="4">
        <f t="shared" si="1"/>
        <v>0.3575850437</v>
      </c>
      <c r="G248" s="10">
        <f t="shared" si="2"/>
        <v>0.8955441742</v>
      </c>
    </row>
    <row r="249" hidden="1">
      <c r="A249" s="3">
        <v>248.0</v>
      </c>
      <c r="B249" s="3" t="s">
        <v>401</v>
      </c>
      <c r="C249" s="3">
        <v>-6.18</v>
      </c>
      <c r="D249" s="3">
        <v>105.8</v>
      </c>
      <c r="E249" s="3">
        <v>112.0</v>
      </c>
      <c r="F249" s="4">
        <f t="shared" si="1"/>
        <v>0.3613560088</v>
      </c>
      <c r="G249" s="10">
        <f t="shared" si="2"/>
        <v>0.8940021699</v>
      </c>
    </row>
    <row r="250" hidden="1">
      <c r="A250" s="3">
        <v>249.0</v>
      </c>
      <c r="B250" s="3" t="s">
        <v>402</v>
      </c>
      <c r="C250" s="3">
        <v>-6.25</v>
      </c>
      <c r="D250" s="3">
        <v>102.5</v>
      </c>
      <c r="E250" s="3">
        <v>108.7</v>
      </c>
      <c r="F250" s="4">
        <f t="shared" si="1"/>
        <v>0.3572569057</v>
      </c>
      <c r="G250" s="10">
        <f t="shared" si="2"/>
        <v>0.8956777489</v>
      </c>
    </row>
    <row r="251" hidden="1">
      <c r="A251" s="3">
        <v>250.0</v>
      </c>
      <c r="B251" s="3" t="s">
        <v>403</v>
      </c>
      <c r="C251" s="3">
        <v>-6.29</v>
      </c>
      <c r="D251" s="3">
        <v>105.3</v>
      </c>
      <c r="E251" s="3">
        <v>111.6</v>
      </c>
      <c r="F251" s="4">
        <f t="shared" si="1"/>
        <v>0.3586849728</v>
      </c>
      <c r="G251" s="10">
        <f t="shared" si="2"/>
        <v>0.8950957221</v>
      </c>
    </row>
    <row r="252" hidden="1">
      <c r="A252" s="3">
        <v>251.0</v>
      </c>
      <c r="B252" s="3" t="s">
        <v>404</v>
      </c>
      <c r="C252" s="3">
        <v>-6.32</v>
      </c>
      <c r="D252" s="3">
        <v>99.6</v>
      </c>
      <c r="E252" s="3">
        <v>105.9</v>
      </c>
      <c r="F252" s="4">
        <f t="shared" si="1"/>
        <v>0.3512997541</v>
      </c>
      <c r="G252" s="10">
        <f t="shared" si="2"/>
        <v>0.8980860393</v>
      </c>
    </row>
    <row r="253" hidden="1">
      <c r="A253" s="3">
        <v>252.0</v>
      </c>
      <c r="B253" s="3" t="s">
        <v>405</v>
      </c>
      <c r="C253" s="3">
        <v>-6.41</v>
      </c>
      <c r="D253" s="3">
        <v>105.7</v>
      </c>
      <c r="E253" s="3">
        <v>112.1</v>
      </c>
      <c r="F253" s="4">
        <f t="shared" si="1"/>
        <v>0.3571250164</v>
      </c>
      <c r="G253" s="10">
        <f t="shared" si="2"/>
        <v>0.8957314097</v>
      </c>
    </row>
    <row r="254" hidden="1">
      <c r="A254" s="3">
        <v>253.0</v>
      </c>
      <c r="B254" s="3" t="s">
        <v>406</v>
      </c>
      <c r="C254" s="3">
        <v>-6.62</v>
      </c>
      <c r="D254" s="3">
        <v>105.0</v>
      </c>
      <c r="E254" s="3">
        <v>111.6</v>
      </c>
      <c r="F254" s="4">
        <f t="shared" si="1"/>
        <v>0.3521488522</v>
      </c>
      <c r="G254" s="10">
        <f t="shared" si="2"/>
        <v>0.897744696</v>
      </c>
    </row>
    <row r="255" hidden="1">
      <c r="A255" s="3">
        <v>254.0</v>
      </c>
      <c r="B255" s="3" t="s">
        <v>407</v>
      </c>
      <c r="C255" s="3">
        <v>-6.73</v>
      </c>
      <c r="D255" s="3">
        <v>107.0</v>
      </c>
      <c r="E255" s="3">
        <v>113.7</v>
      </c>
      <c r="F255" s="4">
        <f t="shared" si="1"/>
        <v>0.3526649256</v>
      </c>
      <c r="G255" s="10">
        <f t="shared" si="2"/>
        <v>0.8975369206</v>
      </c>
    </row>
    <row r="256" hidden="1">
      <c r="A256" s="3">
        <v>255.0</v>
      </c>
      <c r="B256" s="3" t="s">
        <v>408</v>
      </c>
      <c r="C256" s="3">
        <v>-6.92</v>
      </c>
      <c r="D256" s="3">
        <v>103.1</v>
      </c>
      <c r="E256" s="3">
        <v>110.0</v>
      </c>
      <c r="F256" s="4">
        <f t="shared" si="1"/>
        <v>0.3434832753</v>
      </c>
      <c r="G256" s="10">
        <f t="shared" si="2"/>
        <v>0.9011987717</v>
      </c>
    </row>
    <row r="257" hidden="1">
      <c r="A257" s="3">
        <v>256.0</v>
      </c>
      <c r="B257" s="3" t="s">
        <v>409</v>
      </c>
      <c r="C257" s="3">
        <v>-6.98</v>
      </c>
      <c r="D257" s="3">
        <v>100.6</v>
      </c>
      <c r="E257" s="3">
        <v>107.6</v>
      </c>
      <c r="F257" s="4">
        <f t="shared" si="1"/>
        <v>0.3378961313</v>
      </c>
      <c r="G257" s="10">
        <f t="shared" si="2"/>
        <v>0.903391559</v>
      </c>
    </row>
    <row r="258" hidden="1">
      <c r="A258" s="3">
        <v>257.0</v>
      </c>
      <c r="B258" s="3" t="s">
        <v>410</v>
      </c>
      <c r="C258" s="3">
        <v>-6.98</v>
      </c>
      <c r="D258" s="3">
        <v>99.8</v>
      </c>
      <c r="E258" s="3">
        <v>106.7</v>
      </c>
      <c r="F258" s="4">
        <f t="shared" si="1"/>
        <v>0.3388261325</v>
      </c>
      <c r="G258" s="10">
        <f t="shared" si="2"/>
        <v>0.9030283964</v>
      </c>
    </row>
    <row r="259" hidden="1">
      <c r="A259" s="3">
        <v>258.0</v>
      </c>
      <c r="B259" s="3" t="s">
        <v>411</v>
      </c>
      <c r="C259" s="3">
        <v>-7.07</v>
      </c>
      <c r="D259" s="3">
        <v>103.4</v>
      </c>
      <c r="E259" s="3">
        <v>110.5</v>
      </c>
      <c r="F259" s="4">
        <f t="shared" si="1"/>
        <v>0.3398179519</v>
      </c>
      <c r="G259" s="10">
        <f t="shared" si="2"/>
        <v>0.9026402896</v>
      </c>
    </row>
    <row r="260">
      <c r="A260" s="3">
        <v>201.0</v>
      </c>
      <c r="B260" s="3" t="s">
        <v>412</v>
      </c>
      <c r="C260" s="3">
        <v>-3.03</v>
      </c>
      <c r="D260" s="3">
        <v>98.4</v>
      </c>
      <c r="E260" s="3">
        <v>101.4</v>
      </c>
      <c r="F260" s="4">
        <f t="shared" si="1"/>
        <v>0.4254785566</v>
      </c>
      <c r="G260" s="10">
        <f t="shared" si="2"/>
        <v>0.8656612339</v>
      </c>
      <c r="H260" s="3">
        <v>18.0</v>
      </c>
      <c r="I260" s="12">
        <f>1-G421-8.9512875362</f>
        <v>-7.951287536</v>
      </c>
    </row>
    <row r="261" hidden="1">
      <c r="A261" s="3">
        <v>260.0</v>
      </c>
      <c r="B261" s="3" t="s">
        <v>413</v>
      </c>
      <c r="C261" s="3">
        <v>-7.17</v>
      </c>
      <c r="D261" s="3">
        <v>103.9</v>
      </c>
      <c r="E261" s="3">
        <v>111.1</v>
      </c>
      <c r="F261" s="4">
        <f t="shared" si="1"/>
        <v>0.3384928136</v>
      </c>
      <c r="G261" s="10">
        <f t="shared" si="2"/>
        <v>0.9031586403</v>
      </c>
    </row>
    <row r="262" hidden="1">
      <c r="A262" s="3">
        <v>261.0</v>
      </c>
      <c r="B262" s="3" t="s">
        <v>414</v>
      </c>
      <c r="C262" s="3">
        <v>-7.33</v>
      </c>
      <c r="D262" s="3">
        <v>97.2</v>
      </c>
      <c r="E262" s="3">
        <v>104.6</v>
      </c>
      <c r="F262" s="4">
        <f t="shared" si="1"/>
        <v>0.3243770892</v>
      </c>
      <c r="G262" s="10">
        <f t="shared" si="2"/>
        <v>0.9085896177</v>
      </c>
    </row>
    <row r="263" hidden="1">
      <c r="A263" s="3">
        <v>262.0</v>
      </c>
      <c r="B263" s="3" t="s">
        <v>415</v>
      </c>
      <c r="C263" s="3">
        <v>-7.41</v>
      </c>
      <c r="D263" s="3">
        <v>101.0</v>
      </c>
      <c r="E263" s="3">
        <v>108.4</v>
      </c>
      <c r="F263" s="4">
        <f t="shared" si="1"/>
        <v>0.3302453205</v>
      </c>
      <c r="G263" s="10">
        <f t="shared" si="2"/>
        <v>0.9063517542</v>
      </c>
    </row>
    <row r="264" hidden="1">
      <c r="A264" s="3">
        <v>263.0</v>
      </c>
      <c r="B264" s="3" t="s">
        <v>416</v>
      </c>
      <c r="C264" s="3">
        <v>-7.43</v>
      </c>
      <c r="D264" s="3">
        <v>99.5</v>
      </c>
      <c r="E264" s="3">
        <v>106.9</v>
      </c>
      <c r="F264" s="4">
        <f t="shared" si="1"/>
        <v>0.3279742104</v>
      </c>
      <c r="G264" s="10">
        <f t="shared" si="2"/>
        <v>0.9072211717</v>
      </c>
    </row>
    <row r="265" hidden="1">
      <c r="A265" s="3">
        <v>264.0</v>
      </c>
      <c r="B265" s="3" t="s">
        <v>417</v>
      </c>
      <c r="C265" s="3">
        <v>-7.43</v>
      </c>
      <c r="D265" s="3">
        <v>105.9</v>
      </c>
      <c r="E265" s="3">
        <v>113.4</v>
      </c>
      <c r="F265" s="4">
        <f t="shared" si="1"/>
        <v>0.3353108698</v>
      </c>
      <c r="G265" s="10">
        <f t="shared" si="2"/>
        <v>0.9043972788</v>
      </c>
    </row>
    <row r="266" hidden="1">
      <c r="A266" s="3">
        <v>265.0</v>
      </c>
      <c r="B266" s="3" t="s">
        <v>418</v>
      </c>
      <c r="C266" s="3">
        <v>-7.57</v>
      </c>
      <c r="D266" s="3">
        <v>105.3</v>
      </c>
      <c r="E266" s="3">
        <v>112.9</v>
      </c>
      <c r="F266" s="4">
        <f t="shared" si="1"/>
        <v>0.3325019997</v>
      </c>
      <c r="G266" s="10">
        <f t="shared" si="2"/>
        <v>0.9054836667</v>
      </c>
    </row>
    <row r="267" hidden="1">
      <c r="A267" s="3">
        <v>266.0</v>
      </c>
      <c r="B267" s="3" t="s">
        <v>419</v>
      </c>
      <c r="C267" s="3">
        <v>-7.85</v>
      </c>
      <c r="D267" s="3">
        <v>103.0</v>
      </c>
      <c r="E267" s="3">
        <v>110.8</v>
      </c>
      <c r="F267" s="4">
        <f t="shared" si="1"/>
        <v>0.3251995857</v>
      </c>
      <c r="G267" s="10">
        <f t="shared" si="2"/>
        <v>0.9082776406</v>
      </c>
    </row>
    <row r="268" hidden="1">
      <c r="A268" s="3">
        <v>267.0</v>
      </c>
      <c r="B268" s="3" t="s">
        <v>74</v>
      </c>
      <c r="C268" s="3">
        <v>-7.85</v>
      </c>
      <c r="D268" s="3">
        <v>98.9</v>
      </c>
      <c r="E268" s="3">
        <v>106.7</v>
      </c>
      <c r="F268" s="4">
        <f t="shared" si="1"/>
        <v>0.3188375287</v>
      </c>
      <c r="G268" s="10">
        <f t="shared" si="2"/>
        <v>0.910676674</v>
      </c>
    </row>
    <row r="269" hidden="1">
      <c r="A269" s="3">
        <v>268.0</v>
      </c>
      <c r="B269" s="3" t="s">
        <v>420</v>
      </c>
      <c r="C269" s="3">
        <v>-7.96</v>
      </c>
      <c r="D269" s="3">
        <v>107.8</v>
      </c>
      <c r="E269" s="3">
        <v>115.8</v>
      </c>
      <c r="F269" s="4">
        <f t="shared" si="1"/>
        <v>0.3283032904</v>
      </c>
      <c r="G269" s="10">
        <f t="shared" si="2"/>
        <v>0.9070954557</v>
      </c>
    </row>
    <row r="270" hidden="1">
      <c r="A270" s="3">
        <v>269.0</v>
      </c>
      <c r="B270" s="3" t="s">
        <v>421</v>
      </c>
      <c r="C270" s="3">
        <v>-7.98</v>
      </c>
      <c r="D270" s="3">
        <v>104.0</v>
      </c>
      <c r="E270" s="3">
        <v>112.0</v>
      </c>
      <c r="F270" s="4">
        <f t="shared" si="1"/>
        <v>0.3227680835</v>
      </c>
      <c r="G270" s="10">
        <f t="shared" si="2"/>
        <v>0.9091983469</v>
      </c>
    </row>
    <row r="271" hidden="1">
      <c r="A271" s="3">
        <v>270.0</v>
      </c>
      <c r="B271" s="3" t="s">
        <v>422</v>
      </c>
      <c r="C271" s="3">
        <v>-8.03</v>
      </c>
      <c r="D271" s="3">
        <v>97.9</v>
      </c>
      <c r="E271" s="3">
        <v>105.9</v>
      </c>
      <c r="F271" s="4">
        <f t="shared" si="1"/>
        <v>0.3131385119</v>
      </c>
      <c r="G271" s="10">
        <f t="shared" si="2"/>
        <v>0.9127984577</v>
      </c>
    </row>
    <row r="272" hidden="1">
      <c r="A272" s="3">
        <v>271.0</v>
      </c>
      <c r="B272" s="3" t="s">
        <v>423</v>
      </c>
      <c r="C272" s="3">
        <v>-8.04</v>
      </c>
      <c r="D272" s="3">
        <v>103.1</v>
      </c>
      <c r="E272" s="3">
        <v>111.2</v>
      </c>
      <c r="F272" s="4">
        <f t="shared" si="1"/>
        <v>0.3194479607</v>
      </c>
      <c r="G272" s="10">
        <f t="shared" si="2"/>
        <v>0.9104478895</v>
      </c>
    </row>
    <row r="273" hidden="1">
      <c r="A273" s="3">
        <v>272.0</v>
      </c>
      <c r="B273" s="3" t="s">
        <v>424</v>
      </c>
      <c r="C273" s="3">
        <v>-8.15</v>
      </c>
      <c r="D273" s="3">
        <v>103.3</v>
      </c>
      <c r="E273" s="3">
        <v>111.4</v>
      </c>
      <c r="F273" s="4">
        <f t="shared" si="1"/>
        <v>0.3197546598</v>
      </c>
      <c r="G273" s="10">
        <f t="shared" si="2"/>
        <v>0.9103328299</v>
      </c>
    </row>
    <row r="274" hidden="1">
      <c r="A274" s="3">
        <v>273.0</v>
      </c>
      <c r="B274" s="3" t="s">
        <v>425</v>
      </c>
      <c r="C274" s="3">
        <v>-8.28</v>
      </c>
      <c r="D274" s="3">
        <v>101.1</v>
      </c>
      <c r="E274" s="3">
        <v>109.3</v>
      </c>
      <c r="F274" s="4">
        <f t="shared" si="1"/>
        <v>0.3143494799</v>
      </c>
      <c r="G274" s="10">
        <f t="shared" si="2"/>
        <v>0.9123497341</v>
      </c>
    </row>
    <row r="275" hidden="1">
      <c r="A275" s="3">
        <v>274.0</v>
      </c>
      <c r="B275" s="3" t="s">
        <v>426</v>
      </c>
      <c r="C275" s="3">
        <v>-8.34</v>
      </c>
      <c r="D275" s="3">
        <v>105.0</v>
      </c>
      <c r="E275" s="3">
        <v>113.4</v>
      </c>
      <c r="F275" s="4">
        <f t="shared" si="1"/>
        <v>0.3165633881</v>
      </c>
      <c r="G275" s="10">
        <f t="shared" si="2"/>
        <v>0.9115264095</v>
      </c>
    </row>
    <row r="276" hidden="1">
      <c r="A276" s="3">
        <v>275.0</v>
      </c>
      <c r="B276" s="3" t="s">
        <v>427</v>
      </c>
      <c r="C276" s="3">
        <v>-8.38</v>
      </c>
      <c r="D276" s="3">
        <v>105.6</v>
      </c>
      <c r="E276" s="3">
        <v>113.9</v>
      </c>
      <c r="F276" s="4">
        <f t="shared" si="1"/>
        <v>0.3193794651</v>
      </c>
      <c r="G276" s="10">
        <f t="shared" si="2"/>
        <v>0.9104735758</v>
      </c>
    </row>
    <row r="277" hidden="1">
      <c r="A277" s="3">
        <v>276.0</v>
      </c>
      <c r="B277" s="3" t="s">
        <v>428</v>
      </c>
      <c r="C277" s="3">
        <v>-8.46</v>
      </c>
      <c r="D277" s="3">
        <v>100.2</v>
      </c>
      <c r="E277" s="3">
        <v>108.7</v>
      </c>
      <c r="F277" s="4">
        <f t="shared" si="1"/>
        <v>0.3069885534</v>
      </c>
      <c r="G277" s="10">
        <f t="shared" si="2"/>
        <v>0.9150598137</v>
      </c>
    </row>
    <row r="278" hidden="1">
      <c r="A278" s="3">
        <v>277.0</v>
      </c>
      <c r="B278" s="3" t="s">
        <v>429</v>
      </c>
      <c r="C278" s="3">
        <v>-8.46</v>
      </c>
      <c r="D278" s="3">
        <v>96.6</v>
      </c>
      <c r="E278" s="3">
        <v>105.0</v>
      </c>
      <c r="F278" s="4">
        <f t="shared" si="1"/>
        <v>0.3028387833</v>
      </c>
      <c r="G278" s="10">
        <f t="shared" si="2"/>
        <v>0.9165693627</v>
      </c>
    </row>
    <row r="279" hidden="1">
      <c r="A279" s="3">
        <v>278.0</v>
      </c>
      <c r="B279" s="3" t="s">
        <v>430</v>
      </c>
      <c r="C279" s="3">
        <v>-8.54</v>
      </c>
      <c r="D279" s="3">
        <v>100.1</v>
      </c>
      <c r="E279" s="3">
        <v>108.7</v>
      </c>
      <c r="F279" s="4">
        <f t="shared" si="1"/>
        <v>0.3048683775</v>
      </c>
      <c r="G279" s="10">
        <f t="shared" si="2"/>
        <v>0.9158326937</v>
      </c>
    </row>
    <row r="280" hidden="1">
      <c r="A280" s="3">
        <v>279.0</v>
      </c>
      <c r="B280" s="3" t="s">
        <v>431</v>
      </c>
      <c r="C280" s="3">
        <v>-8.54</v>
      </c>
      <c r="D280" s="3">
        <v>104.0</v>
      </c>
      <c r="E280" s="3">
        <v>112.5</v>
      </c>
      <c r="F280" s="4">
        <f t="shared" si="1"/>
        <v>0.3131092196</v>
      </c>
      <c r="G280" s="10">
        <f t="shared" si="2"/>
        <v>0.9128092978</v>
      </c>
    </row>
    <row r="281" hidden="1">
      <c r="A281" s="3">
        <v>280.0</v>
      </c>
      <c r="B281" s="3" t="s">
        <v>432</v>
      </c>
      <c r="C281" s="3">
        <v>-8.63</v>
      </c>
      <c r="D281" s="3">
        <v>104.8</v>
      </c>
      <c r="E281" s="3">
        <v>113.4</v>
      </c>
      <c r="F281" s="4">
        <f t="shared" si="1"/>
        <v>0.3124529869</v>
      </c>
      <c r="G281" s="10">
        <f t="shared" si="2"/>
        <v>0.913051973</v>
      </c>
    </row>
    <row r="282" hidden="1">
      <c r="A282" s="3">
        <v>281.0</v>
      </c>
      <c r="B282" s="3" t="s">
        <v>433</v>
      </c>
      <c r="C282" s="3">
        <v>-8.81</v>
      </c>
      <c r="D282" s="3">
        <v>99.9</v>
      </c>
      <c r="E282" s="3">
        <v>108.7</v>
      </c>
      <c r="F282" s="4">
        <f t="shared" si="1"/>
        <v>0.3006465202</v>
      </c>
      <c r="G282" s="10">
        <f t="shared" si="2"/>
        <v>0.9173615913</v>
      </c>
    </row>
    <row r="283" hidden="1">
      <c r="A283" s="3">
        <v>282.0</v>
      </c>
      <c r="B283" s="3" t="s">
        <v>434</v>
      </c>
      <c r="C283" s="3">
        <v>-8.82</v>
      </c>
      <c r="D283" s="3">
        <v>98.1</v>
      </c>
      <c r="E283" s="3">
        <v>106.9</v>
      </c>
      <c r="F283" s="4">
        <f t="shared" si="1"/>
        <v>0.2975348324</v>
      </c>
      <c r="G283" s="10">
        <f t="shared" si="2"/>
        <v>0.9184799127</v>
      </c>
    </row>
    <row r="284" hidden="1">
      <c r="A284" s="3">
        <v>283.0</v>
      </c>
      <c r="B284" s="3" t="s">
        <v>107</v>
      </c>
      <c r="C284" s="3">
        <v>-8.86</v>
      </c>
      <c r="D284" s="3">
        <v>103.4</v>
      </c>
      <c r="E284" s="3">
        <v>112.2</v>
      </c>
      <c r="F284" s="4">
        <f t="shared" si="1"/>
        <v>0.3064475378</v>
      </c>
      <c r="G284" s="10">
        <f t="shared" si="2"/>
        <v>0.9152573582</v>
      </c>
    </row>
    <row r="285" hidden="1">
      <c r="A285" s="3">
        <v>284.0</v>
      </c>
      <c r="B285" s="3" t="s">
        <v>435</v>
      </c>
      <c r="C285" s="3">
        <v>-8.98</v>
      </c>
      <c r="D285" s="3">
        <v>102.5</v>
      </c>
      <c r="E285" s="3">
        <v>111.5</v>
      </c>
      <c r="F285" s="4">
        <f t="shared" si="1"/>
        <v>0.3011941401</v>
      </c>
      <c r="G285" s="10">
        <f t="shared" si="2"/>
        <v>0.9171640329</v>
      </c>
    </row>
    <row r="286" hidden="1">
      <c r="A286" s="3">
        <v>285.0</v>
      </c>
      <c r="B286" s="3" t="s">
        <v>436</v>
      </c>
      <c r="C286" s="3">
        <v>-9.1</v>
      </c>
      <c r="D286" s="3">
        <v>101.6</v>
      </c>
      <c r="E286" s="3">
        <v>110.7</v>
      </c>
      <c r="F286" s="4">
        <f t="shared" si="1"/>
        <v>0.2977985566</v>
      </c>
      <c r="G286" s="10">
        <f t="shared" si="2"/>
        <v>0.9183854109</v>
      </c>
    </row>
    <row r="287" hidden="1">
      <c r="A287" s="3">
        <v>286.0</v>
      </c>
      <c r="B287" s="3" t="s">
        <v>437</v>
      </c>
      <c r="C287" s="3">
        <v>-9.69</v>
      </c>
      <c r="D287" s="3">
        <v>101.3</v>
      </c>
      <c r="E287" s="3">
        <v>111.0</v>
      </c>
      <c r="F287" s="4">
        <f t="shared" si="1"/>
        <v>0.2860925646</v>
      </c>
      <c r="G287" s="10">
        <f t="shared" si="2"/>
        <v>0.9225310599</v>
      </c>
    </row>
    <row r="288" hidden="1">
      <c r="A288" s="3">
        <v>287.0</v>
      </c>
      <c r="B288" s="3" t="s">
        <v>438</v>
      </c>
      <c r="C288" s="3">
        <v>-9.89</v>
      </c>
      <c r="D288" s="3">
        <v>99.0</v>
      </c>
      <c r="E288" s="3">
        <v>108.9</v>
      </c>
      <c r="F288" s="4">
        <f t="shared" si="1"/>
        <v>0.2782614534</v>
      </c>
      <c r="G288" s="10">
        <f t="shared" si="2"/>
        <v>0.9252495228</v>
      </c>
    </row>
    <row r="289" hidden="1">
      <c r="A289" s="3">
        <v>288.0</v>
      </c>
      <c r="B289" s="3" t="s">
        <v>439</v>
      </c>
      <c r="C289" s="3">
        <v>-9.95</v>
      </c>
      <c r="D289" s="3">
        <v>100.0</v>
      </c>
      <c r="E289" s="3">
        <v>110.0</v>
      </c>
      <c r="F289" s="4">
        <f t="shared" si="1"/>
        <v>0.2782614534</v>
      </c>
      <c r="G289" s="10">
        <f t="shared" si="2"/>
        <v>0.9252495228</v>
      </c>
    </row>
    <row r="290" hidden="1">
      <c r="A290" s="3">
        <v>289.0</v>
      </c>
      <c r="B290" s="3" t="s">
        <v>440</v>
      </c>
      <c r="C290" s="3">
        <v>-9.98</v>
      </c>
      <c r="D290" s="3">
        <v>95.8</v>
      </c>
      <c r="E290" s="3">
        <v>105.8</v>
      </c>
      <c r="F290" s="4">
        <f t="shared" si="1"/>
        <v>0.2703439258</v>
      </c>
      <c r="G290" s="10">
        <f t="shared" si="2"/>
        <v>0.9279544711</v>
      </c>
    </row>
    <row r="291" hidden="1">
      <c r="A291" s="3">
        <v>290.0</v>
      </c>
      <c r="B291" s="3" t="s">
        <v>441</v>
      </c>
      <c r="C291" s="3">
        <v>-9.98</v>
      </c>
      <c r="D291" s="3">
        <v>99.4</v>
      </c>
      <c r="E291" s="3">
        <v>109.3</v>
      </c>
      <c r="F291" s="4">
        <f t="shared" si="1"/>
        <v>0.2789968901</v>
      </c>
      <c r="G291" s="10">
        <f t="shared" si="2"/>
        <v>0.924996063</v>
      </c>
    </row>
    <row r="292" hidden="1">
      <c r="A292" s="3">
        <v>291.0</v>
      </c>
      <c r="B292" s="3" t="s">
        <v>442</v>
      </c>
      <c r="C292" s="3">
        <v>-10.0</v>
      </c>
      <c r="D292" s="3">
        <v>98.9</v>
      </c>
      <c r="E292" s="3">
        <v>108.9</v>
      </c>
      <c r="F292" s="4">
        <f t="shared" si="1"/>
        <v>0.2762363772</v>
      </c>
      <c r="G292" s="10">
        <f t="shared" si="2"/>
        <v>0.9259454935</v>
      </c>
    </row>
    <row r="293">
      <c r="A293" s="3">
        <v>292.0</v>
      </c>
      <c r="B293" s="3" t="s">
        <v>443</v>
      </c>
      <c r="C293" s="3">
        <v>-10.0</v>
      </c>
      <c r="D293" s="3">
        <v>96.4</v>
      </c>
      <c r="E293" s="3">
        <v>106.4</v>
      </c>
      <c r="F293" s="4">
        <f t="shared" si="1"/>
        <v>0.2715062765</v>
      </c>
      <c r="G293" s="10">
        <f t="shared" si="2"/>
        <v>0.9275600648</v>
      </c>
      <c r="H293" s="3">
        <v>14.0</v>
      </c>
      <c r="I293" s="11">
        <f>2*(1-G363) -12.0685104161</f>
        <v>-12.04936789</v>
      </c>
    </row>
    <row r="294" hidden="1">
      <c r="A294" s="3">
        <v>293.0</v>
      </c>
      <c r="B294" s="3" t="s">
        <v>444</v>
      </c>
      <c r="C294" s="3">
        <v>-10.09</v>
      </c>
      <c r="D294" s="3">
        <v>102.1</v>
      </c>
      <c r="E294" s="3">
        <v>112.2</v>
      </c>
      <c r="F294" s="4">
        <f t="shared" si="1"/>
        <v>0.2802336998</v>
      </c>
      <c r="G294" s="10">
        <f t="shared" si="2"/>
        <v>0.9245689573</v>
      </c>
    </row>
    <row r="295" hidden="1">
      <c r="A295" s="3">
        <v>294.0</v>
      </c>
      <c r="B295" s="3" t="s">
        <v>445</v>
      </c>
      <c r="C295" s="3">
        <v>-10.15</v>
      </c>
      <c r="D295" s="3">
        <v>106.5</v>
      </c>
      <c r="E295" s="3">
        <v>116.6</v>
      </c>
      <c r="F295" s="4">
        <f t="shared" si="1"/>
        <v>0.2878102669</v>
      </c>
      <c r="G295" s="10">
        <f t="shared" si="2"/>
        <v>0.9219289571</v>
      </c>
    </row>
    <row r="296" hidden="1">
      <c r="A296" s="3">
        <v>295.0</v>
      </c>
      <c r="B296" s="3" t="s">
        <v>446</v>
      </c>
      <c r="C296" s="3">
        <v>-10.15</v>
      </c>
      <c r="D296" s="3">
        <v>100.3</v>
      </c>
      <c r="E296" s="3">
        <v>110.4</v>
      </c>
      <c r="F296" s="4">
        <f t="shared" si="1"/>
        <v>0.2769894513</v>
      </c>
      <c r="G296" s="10">
        <f t="shared" si="2"/>
        <v>0.9256870129</v>
      </c>
    </row>
    <row r="297" hidden="1">
      <c r="A297" s="3">
        <v>296.0</v>
      </c>
      <c r="B297" s="3" t="s">
        <v>447</v>
      </c>
      <c r="C297" s="3">
        <v>-10.4</v>
      </c>
      <c r="D297" s="3">
        <v>103.5</v>
      </c>
      <c r="E297" s="3">
        <v>113.9</v>
      </c>
      <c r="F297" s="4">
        <f t="shared" si="1"/>
        <v>0.2773805034</v>
      </c>
      <c r="G297" s="10">
        <f t="shared" si="2"/>
        <v>0.9255526351</v>
      </c>
    </row>
    <row r="298" hidden="1">
      <c r="A298" s="3">
        <v>297.0</v>
      </c>
      <c r="B298" s="3" t="s">
        <v>448</v>
      </c>
      <c r="C298" s="3">
        <v>-10.47</v>
      </c>
      <c r="D298" s="3">
        <v>98.3</v>
      </c>
      <c r="E298" s="3">
        <v>108.7</v>
      </c>
      <c r="F298" s="4">
        <f t="shared" si="1"/>
        <v>0.2678265893</v>
      </c>
      <c r="G298" s="10">
        <f t="shared" si="2"/>
        <v>0.9288054965</v>
      </c>
    </row>
    <row r="299" hidden="1">
      <c r="A299" s="3">
        <v>298.0</v>
      </c>
      <c r="B299" s="3" t="s">
        <v>449</v>
      </c>
      <c r="C299" s="3">
        <v>-10.64</v>
      </c>
      <c r="D299" s="3">
        <v>100.1</v>
      </c>
      <c r="E299" s="3">
        <v>110.7</v>
      </c>
      <c r="F299" s="4">
        <f t="shared" si="1"/>
        <v>0.2676572234</v>
      </c>
      <c r="G299" s="10">
        <f t="shared" si="2"/>
        <v>0.9288625991</v>
      </c>
    </row>
    <row r="300" hidden="1">
      <c r="A300" s="3">
        <v>299.0</v>
      </c>
      <c r="B300" s="3" t="s">
        <v>450</v>
      </c>
      <c r="C300" s="3">
        <v>-10.66</v>
      </c>
      <c r="D300" s="3">
        <v>103.5</v>
      </c>
      <c r="E300" s="3">
        <v>114.1</v>
      </c>
      <c r="F300" s="4">
        <f t="shared" si="1"/>
        <v>0.2738777716</v>
      </c>
      <c r="G300" s="10">
        <f t="shared" si="2"/>
        <v>0.9267525055</v>
      </c>
    </row>
    <row r="301" hidden="1">
      <c r="A301" s="3">
        <v>300.0</v>
      </c>
      <c r="B301" s="3" t="s">
        <v>451</v>
      </c>
      <c r="C301" s="3">
        <v>-10.73</v>
      </c>
      <c r="D301" s="3">
        <v>100.3</v>
      </c>
      <c r="E301" s="3">
        <v>111.0</v>
      </c>
      <c r="F301" s="4">
        <f t="shared" si="1"/>
        <v>0.2662671121</v>
      </c>
      <c r="G301" s="10">
        <f t="shared" si="2"/>
        <v>0.9293305505</v>
      </c>
    </row>
    <row r="302" hidden="1">
      <c r="A302" s="3">
        <v>301.0</v>
      </c>
      <c r="B302" s="3" t="s">
        <v>452</v>
      </c>
      <c r="C302" s="3">
        <v>-10.79</v>
      </c>
      <c r="D302" s="3">
        <v>99.1</v>
      </c>
      <c r="E302" s="3">
        <v>109.9</v>
      </c>
      <c r="F302" s="4">
        <f t="shared" si="1"/>
        <v>0.2622292147</v>
      </c>
      <c r="G302" s="10">
        <f t="shared" si="2"/>
        <v>0.930682466</v>
      </c>
    </row>
    <row r="303" hidden="1">
      <c r="A303" s="3">
        <v>302.0</v>
      </c>
      <c r="B303" s="3" t="s">
        <v>453</v>
      </c>
      <c r="C303" s="3">
        <v>-10.94</v>
      </c>
      <c r="D303" s="3">
        <v>100.1</v>
      </c>
      <c r="E303" s="3">
        <v>111.1</v>
      </c>
      <c r="F303" s="4">
        <f t="shared" si="1"/>
        <v>0.2606466868</v>
      </c>
      <c r="G303" s="10">
        <f t="shared" si="2"/>
        <v>0.9312093424</v>
      </c>
    </row>
    <row r="304" hidden="1">
      <c r="A304" s="3">
        <v>303.0</v>
      </c>
      <c r="B304" s="3" t="s">
        <v>454</v>
      </c>
      <c r="C304" s="3">
        <v>-10.98</v>
      </c>
      <c r="D304" s="3">
        <v>97.9</v>
      </c>
      <c r="E304" s="3">
        <v>108.9</v>
      </c>
      <c r="F304" s="4">
        <f t="shared" si="1"/>
        <v>0.256386602</v>
      </c>
      <c r="G304" s="10">
        <f t="shared" si="2"/>
        <v>0.9326194516</v>
      </c>
    </row>
    <row r="305" hidden="1">
      <c r="A305" s="3">
        <v>304.0</v>
      </c>
      <c r="B305" s="3" t="s">
        <v>455</v>
      </c>
      <c r="C305" s="3">
        <v>-11.06</v>
      </c>
      <c r="D305" s="3">
        <v>101.6</v>
      </c>
      <c r="E305" s="3">
        <v>112.6</v>
      </c>
      <c r="F305" s="4">
        <f t="shared" si="1"/>
        <v>0.2634755603</v>
      </c>
      <c r="G305" s="10">
        <f t="shared" si="2"/>
        <v>0.930266344</v>
      </c>
    </row>
    <row r="306" hidden="1">
      <c r="A306" s="3">
        <v>305.0</v>
      </c>
      <c r="B306" s="3" t="s">
        <v>456</v>
      </c>
      <c r="C306" s="3">
        <v>-11.42</v>
      </c>
      <c r="D306" s="3">
        <v>100.0</v>
      </c>
      <c r="E306" s="3">
        <v>111.4</v>
      </c>
      <c r="F306" s="4">
        <f t="shared" si="1"/>
        <v>0.253587131</v>
      </c>
      <c r="G306" s="10">
        <f t="shared" si="2"/>
        <v>0.9335396232</v>
      </c>
    </row>
    <row r="307" hidden="1">
      <c r="A307" s="3">
        <v>306.0</v>
      </c>
      <c r="B307" s="3" t="s">
        <v>457</v>
      </c>
      <c r="C307" s="3">
        <v>-11.52</v>
      </c>
      <c r="D307" s="3">
        <v>98.7</v>
      </c>
      <c r="E307" s="3">
        <v>110.3</v>
      </c>
      <c r="F307" s="4">
        <f t="shared" si="1"/>
        <v>0.2476491399</v>
      </c>
      <c r="G307" s="10">
        <f t="shared" si="2"/>
        <v>0.9354746489</v>
      </c>
    </row>
    <row r="308" hidden="1">
      <c r="A308" s="3">
        <v>307.0</v>
      </c>
      <c r="B308" s="3" t="s">
        <v>164</v>
      </c>
      <c r="C308" s="3">
        <v>-11.55</v>
      </c>
      <c r="D308" s="3">
        <v>101.8</v>
      </c>
      <c r="E308" s="3">
        <v>113.4</v>
      </c>
      <c r="F308" s="4">
        <f t="shared" si="1"/>
        <v>0.2536739342</v>
      </c>
      <c r="G308" s="10">
        <f t="shared" si="2"/>
        <v>0.933511168</v>
      </c>
    </row>
    <row r="309" hidden="1">
      <c r="A309" s="3">
        <v>308.0</v>
      </c>
      <c r="B309" s="3" t="s">
        <v>458</v>
      </c>
      <c r="C309" s="3">
        <v>-11.61</v>
      </c>
      <c r="D309" s="3">
        <v>102.2</v>
      </c>
      <c r="E309" s="3">
        <v>113.8</v>
      </c>
      <c r="F309" s="4">
        <f t="shared" si="1"/>
        <v>0.2544328148</v>
      </c>
      <c r="G309" s="10">
        <f t="shared" si="2"/>
        <v>0.9332621887</v>
      </c>
    </row>
    <row r="310" hidden="1">
      <c r="A310" s="3">
        <v>309.0</v>
      </c>
      <c r="B310" s="3" t="s">
        <v>459</v>
      </c>
      <c r="C310" s="3">
        <v>-11.66</v>
      </c>
      <c r="D310" s="3">
        <v>100.6</v>
      </c>
      <c r="E310" s="3">
        <v>112.3</v>
      </c>
      <c r="F310" s="4">
        <f t="shared" si="1"/>
        <v>0.2496994171</v>
      </c>
      <c r="G310" s="10">
        <f t="shared" si="2"/>
        <v>0.9348090789</v>
      </c>
    </row>
    <row r="311" hidden="1">
      <c r="A311" s="3">
        <v>310.0</v>
      </c>
      <c r="B311" s="3" t="s">
        <v>460</v>
      </c>
      <c r="C311" s="3">
        <v>-12.29</v>
      </c>
      <c r="D311" s="3">
        <v>93.1</v>
      </c>
      <c r="E311" s="3">
        <v>105.3</v>
      </c>
      <c r="F311" s="4">
        <f t="shared" si="1"/>
        <v>0.2259378251</v>
      </c>
      <c r="G311" s="10">
        <f t="shared" si="2"/>
        <v>0.9423615107</v>
      </c>
    </row>
    <row r="312" hidden="1">
      <c r="A312" s="3">
        <v>311.0</v>
      </c>
      <c r="B312" s="3" t="s">
        <v>461</v>
      </c>
      <c r="C312" s="3">
        <v>-12.32</v>
      </c>
      <c r="D312" s="3">
        <v>100.7</v>
      </c>
      <c r="E312" s="3">
        <v>113.0</v>
      </c>
      <c r="F312" s="4">
        <f t="shared" si="1"/>
        <v>0.2400473032</v>
      </c>
      <c r="G312" s="10">
        <f t="shared" si="2"/>
        <v>0.9379191539</v>
      </c>
    </row>
    <row r="313" hidden="1">
      <c r="A313" s="3">
        <v>312.0</v>
      </c>
      <c r="B313" s="3" t="s">
        <v>462</v>
      </c>
      <c r="C313" s="3">
        <v>-12.41</v>
      </c>
      <c r="D313" s="3">
        <v>99.1</v>
      </c>
      <c r="E313" s="3">
        <v>111.5</v>
      </c>
      <c r="F313" s="4">
        <f t="shared" si="1"/>
        <v>0.2352407725</v>
      </c>
      <c r="G313" s="10">
        <f t="shared" si="2"/>
        <v>0.9394461562</v>
      </c>
    </row>
    <row r="314" hidden="1">
      <c r="A314" s="3">
        <v>313.0</v>
      </c>
      <c r="B314" s="3" t="s">
        <v>463</v>
      </c>
      <c r="C314" s="3">
        <v>-12.8</v>
      </c>
      <c r="D314" s="3">
        <v>99.5</v>
      </c>
      <c r="E314" s="3">
        <v>112.3</v>
      </c>
      <c r="F314" s="4">
        <f t="shared" si="1"/>
        <v>0.2296723571</v>
      </c>
      <c r="G314" s="10">
        <f t="shared" si="2"/>
        <v>0.9411974783</v>
      </c>
    </row>
    <row r="315" hidden="1">
      <c r="A315" s="3">
        <v>314.0</v>
      </c>
      <c r="B315" s="3" t="s">
        <v>464</v>
      </c>
      <c r="C315" s="3">
        <v>-13.0</v>
      </c>
      <c r="D315" s="3">
        <v>98.2</v>
      </c>
      <c r="E315" s="3">
        <v>111.2</v>
      </c>
      <c r="F315" s="4">
        <f t="shared" si="1"/>
        <v>0.2238722312</v>
      </c>
      <c r="G315" s="10">
        <f t="shared" si="2"/>
        <v>0.9430017582</v>
      </c>
    </row>
    <row r="316" hidden="1">
      <c r="A316" s="3">
        <v>315.0</v>
      </c>
      <c r="B316" s="3" t="s">
        <v>465</v>
      </c>
      <c r="C316" s="3">
        <v>-13.03</v>
      </c>
      <c r="D316" s="3">
        <v>95.5</v>
      </c>
      <c r="E316" s="3">
        <v>108.5</v>
      </c>
      <c r="F316" s="4">
        <f t="shared" si="1"/>
        <v>0.2181910655</v>
      </c>
      <c r="G316" s="10">
        <f t="shared" si="2"/>
        <v>0.944749651</v>
      </c>
    </row>
    <row r="317" hidden="1">
      <c r="A317" s="3">
        <v>316.0</v>
      </c>
      <c r="B317" s="3" t="s">
        <v>466</v>
      </c>
      <c r="C317" s="3">
        <v>-13.11</v>
      </c>
      <c r="D317" s="3">
        <v>100.3</v>
      </c>
      <c r="E317" s="3">
        <v>113.4</v>
      </c>
      <c r="F317" s="4">
        <f t="shared" si="1"/>
        <v>0.2266093003</v>
      </c>
      <c r="G317" s="10">
        <f t="shared" si="2"/>
        <v>0.942152833</v>
      </c>
    </row>
    <row r="318" hidden="1">
      <c r="A318" s="3">
        <v>317.0</v>
      </c>
      <c r="B318" s="3" t="s">
        <v>467</v>
      </c>
      <c r="C318" s="3">
        <v>-13.31</v>
      </c>
      <c r="D318" s="3">
        <v>101.8</v>
      </c>
      <c r="E318" s="3">
        <v>115.1</v>
      </c>
      <c r="F318" s="4">
        <f t="shared" si="1"/>
        <v>0.2265470631</v>
      </c>
      <c r="G318" s="10">
        <f t="shared" si="2"/>
        <v>0.9421721861</v>
      </c>
    </row>
    <row r="319" hidden="1">
      <c r="A319" s="3">
        <v>318.0</v>
      </c>
      <c r="B319" s="3" t="s">
        <v>468</v>
      </c>
      <c r="C319" s="3">
        <v>-13.48</v>
      </c>
      <c r="D319" s="3">
        <v>93.6</v>
      </c>
      <c r="E319" s="3">
        <v>107.1</v>
      </c>
      <c r="F319" s="4">
        <f t="shared" si="1"/>
        <v>0.2063078918</v>
      </c>
      <c r="G319" s="10">
        <f t="shared" si="2"/>
        <v>0.9483450312</v>
      </c>
    </row>
    <row r="320" hidden="1">
      <c r="A320" s="3">
        <v>319.0</v>
      </c>
      <c r="B320" s="3" t="s">
        <v>469</v>
      </c>
      <c r="C320" s="3">
        <v>-13.56</v>
      </c>
      <c r="D320" s="3">
        <v>100.7</v>
      </c>
      <c r="E320" s="3">
        <v>114.3</v>
      </c>
      <c r="F320" s="4">
        <f t="shared" si="1"/>
        <v>0.2198042091</v>
      </c>
      <c r="G320" s="10">
        <f t="shared" si="2"/>
        <v>0.9442552756</v>
      </c>
    </row>
    <row r="321" hidden="1">
      <c r="A321" s="3">
        <v>320.0</v>
      </c>
      <c r="B321" s="3" t="s">
        <v>470</v>
      </c>
      <c r="C321" s="3">
        <v>-13.78</v>
      </c>
      <c r="D321" s="3">
        <v>96.1</v>
      </c>
      <c r="E321" s="3">
        <v>109.9</v>
      </c>
      <c r="F321" s="4">
        <f t="shared" si="1"/>
        <v>0.2072116663</v>
      </c>
      <c r="G321" s="10">
        <f t="shared" si="2"/>
        <v>0.9480744226</v>
      </c>
    </row>
    <row r="322" hidden="1">
      <c r="A322" s="3">
        <v>321.0</v>
      </c>
      <c r="B322" s="3" t="s">
        <v>471</v>
      </c>
      <c r="C322" s="3">
        <v>-13.99</v>
      </c>
      <c r="D322" s="3">
        <v>98.3</v>
      </c>
      <c r="E322" s="3">
        <v>112.3</v>
      </c>
      <c r="F322" s="4">
        <f t="shared" si="1"/>
        <v>0.2089116292</v>
      </c>
      <c r="G322" s="10">
        <f t="shared" si="2"/>
        <v>0.9475641642</v>
      </c>
    </row>
    <row r="323" hidden="1">
      <c r="A323" s="3">
        <v>322.0</v>
      </c>
      <c r="B323" s="3" t="s">
        <v>472</v>
      </c>
      <c r="C323" s="3">
        <v>-14.01</v>
      </c>
      <c r="D323" s="3">
        <v>103.1</v>
      </c>
      <c r="E323" s="3">
        <v>117.1</v>
      </c>
      <c r="F323" s="4">
        <f t="shared" si="1"/>
        <v>0.2186947843</v>
      </c>
      <c r="G323" s="10">
        <f t="shared" si="2"/>
        <v>0.9445954414</v>
      </c>
    </row>
    <row r="324" hidden="1">
      <c r="A324" s="3">
        <v>323.0</v>
      </c>
      <c r="B324" s="3" t="s">
        <v>473</v>
      </c>
      <c r="C324" s="3">
        <v>-14.3</v>
      </c>
      <c r="D324" s="3">
        <v>96.8</v>
      </c>
      <c r="E324" s="3">
        <v>111.1</v>
      </c>
      <c r="F324" s="4">
        <f t="shared" si="1"/>
        <v>0.2013566079</v>
      </c>
      <c r="G324" s="10">
        <f t="shared" si="2"/>
        <v>0.9498193867</v>
      </c>
    </row>
    <row r="325" hidden="1">
      <c r="A325" s="3">
        <v>324.0</v>
      </c>
      <c r="B325" s="3" t="s">
        <v>474</v>
      </c>
      <c r="C325" s="3">
        <v>-14.36</v>
      </c>
      <c r="D325" s="3">
        <v>94.2</v>
      </c>
      <c r="E325" s="3">
        <v>108.6</v>
      </c>
      <c r="F325" s="4">
        <f t="shared" si="1"/>
        <v>0.1942680427</v>
      </c>
      <c r="G325" s="10">
        <f t="shared" si="2"/>
        <v>0.951906433</v>
      </c>
    </row>
    <row r="326" hidden="1">
      <c r="A326" s="3">
        <v>325.0</v>
      </c>
      <c r="B326" s="3" t="s">
        <v>475</v>
      </c>
      <c r="C326" s="3">
        <v>-14.89</v>
      </c>
      <c r="D326" s="3">
        <v>97.7</v>
      </c>
      <c r="E326" s="3">
        <v>112.5</v>
      </c>
      <c r="F326" s="4">
        <f t="shared" si="1"/>
        <v>0.1961525837</v>
      </c>
      <c r="G326" s="10">
        <f t="shared" si="2"/>
        <v>0.9513542795</v>
      </c>
    </row>
    <row r="327" hidden="1">
      <c r="A327" s="3">
        <v>326.0</v>
      </c>
      <c r="B327" s="3" t="s">
        <v>476</v>
      </c>
      <c r="C327" s="3">
        <v>-15.12</v>
      </c>
      <c r="D327" s="3">
        <v>96.9</v>
      </c>
      <c r="E327" s="3">
        <v>112.1</v>
      </c>
      <c r="F327" s="4">
        <f t="shared" si="1"/>
        <v>0.1889084983</v>
      </c>
      <c r="G327" s="10">
        <f t="shared" si="2"/>
        <v>0.9534661613</v>
      </c>
    </row>
    <row r="328" hidden="1">
      <c r="A328" s="3">
        <v>327.0</v>
      </c>
      <c r="B328" s="3" t="s">
        <v>477</v>
      </c>
      <c r="C328" s="3">
        <v>-15.31</v>
      </c>
      <c r="D328" s="3">
        <v>98.0</v>
      </c>
      <c r="E328" s="3">
        <v>113.3</v>
      </c>
      <c r="F328" s="4">
        <f t="shared" si="1"/>
        <v>0.1898912599</v>
      </c>
      <c r="G328" s="10">
        <f t="shared" si="2"/>
        <v>0.9531813234</v>
      </c>
    </row>
    <row r="329" hidden="1">
      <c r="A329" s="3">
        <v>328.0</v>
      </c>
      <c r="B329" s="3" t="s">
        <v>478</v>
      </c>
      <c r="C329" s="3">
        <v>-15.87</v>
      </c>
      <c r="D329" s="3">
        <v>96.0</v>
      </c>
      <c r="E329" s="3">
        <v>111.9</v>
      </c>
      <c r="F329" s="4">
        <f t="shared" si="1"/>
        <v>0.1776173561</v>
      </c>
      <c r="G329" s="10">
        <f t="shared" si="2"/>
        <v>0.9567017842</v>
      </c>
    </row>
    <row r="330" hidden="1">
      <c r="A330" s="3">
        <v>329.0</v>
      </c>
      <c r="B330" s="3" t="s">
        <v>479</v>
      </c>
      <c r="C330" s="3">
        <v>-16.03</v>
      </c>
      <c r="D330" s="3">
        <v>95.6</v>
      </c>
      <c r="E330" s="3">
        <v>111.6</v>
      </c>
      <c r="F330" s="4">
        <f t="shared" si="1"/>
        <v>0.1754501999</v>
      </c>
      <c r="G330" s="10">
        <f t="shared" si="2"/>
        <v>0.9573151405</v>
      </c>
    </row>
    <row r="331" hidden="1">
      <c r="A331" s="3">
        <v>330.0</v>
      </c>
      <c r="B331" s="3" t="s">
        <v>480</v>
      </c>
      <c r="C331" s="3">
        <v>-16.52</v>
      </c>
      <c r="D331" s="3">
        <v>94.7</v>
      </c>
      <c r="E331" s="3">
        <v>111.2</v>
      </c>
      <c r="F331" s="4">
        <f t="shared" si="1"/>
        <v>0.1671218987</v>
      </c>
      <c r="G331" s="10">
        <f t="shared" si="2"/>
        <v>0.9596497149</v>
      </c>
    </row>
    <row r="332" hidden="1">
      <c r="A332" s="3">
        <v>331.0</v>
      </c>
      <c r="B332" s="3" t="s">
        <v>481</v>
      </c>
      <c r="C332" s="3">
        <v>-16.69</v>
      </c>
      <c r="D332" s="3">
        <v>102.2</v>
      </c>
      <c r="E332" s="3">
        <v>118.9</v>
      </c>
      <c r="F332" s="4">
        <f t="shared" si="1"/>
        <v>0.1804190076</v>
      </c>
      <c r="G332" s="10">
        <f t="shared" si="2"/>
        <v>0.9559052184</v>
      </c>
    </row>
    <row r="333" hidden="1">
      <c r="A333" s="3">
        <v>332.0</v>
      </c>
      <c r="B333" s="3" t="s">
        <v>482</v>
      </c>
      <c r="C333" s="3">
        <v>-16.76</v>
      </c>
      <c r="D333" s="3">
        <v>96.3</v>
      </c>
      <c r="E333" s="3">
        <v>113.1</v>
      </c>
      <c r="F333" s="4">
        <f t="shared" si="1"/>
        <v>0.1668608222</v>
      </c>
      <c r="G333" s="10">
        <f t="shared" si="2"/>
        <v>0.959722327</v>
      </c>
    </row>
    <row r="334" hidden="1">
      <c r="A334" s="3">
        <v>333.0</v>
      </c>
      <c r="B334" s="3" t="s">
        <v>483</v>
      </c>
      <c r="C334" s="3">
        <v>-16.76</v>
      </c>
      <c r="D334" s="3">
        <v>94.7</v>
      </c>
      <c r="E334" s="3">
        <v>111.5</v>
      </c>
      <c r="F334" s="4">
        <f t="shared" si="1"/>
        <v>0.1634053272</v>
      </c>
      <c r="G334" s="10">
        <f t="shared" si="2"/>
        <v>0.9606801472</v>
      </c>
    </row>
    <row r="335" hidden="1">
      <c r="A335" s="3">
        <v>334.0</v>
      </c>
      <c r="B335" s="3" t="s">
        <v>484</v>
      </c>
      <c r="C335" s="3">
        <v>-16.8</v>
      </c>
      <c r="D335" s="3">
        <v>97.4</v>
      </c>
      <c r="E335" s="3">
        <v>114.2</v>
      </c>
      <c r="F335" s="4">
        <f t="shared" si="1"/>
        <v>0.1692079817</v>
      </c>
      <c r="G335" s="10">
        <f t="shared" si="2"/>
        <v>0.9590682787</v>
      </c>
    </row>
    <row r="336" hidden="1">
      <c r="A336" s="3">
        <v>335.0</v>
      </c>
      <c r="B336" s="3" t="s">
        <v>485</v>
      </c>
      <c r="C336" s="3">
        <v>-17.03</v>
      </c>
      <c r="D336" s="3">
        <v>97.5</v>
      </c>
      <c r="E336" s="3">
        <v>114.5</v>
      </c>
      <c r="F336" s="4">
        <f t="shared" si="1"/>
        <v>0.1669743189</v>
      </c>
      <c r="G336" s="10">
        <f t="shared" si="2"/>
        <v>0.9596907649</v>
      </c>
    </row>
    <row r="337" hidden="1">
      <c r="A337" s="3">
        <v>336.0</v>
      </c>
      <c r="B337" s="3" t="s">
        <v>486</v>
      </c>
      <c r="C337" s="3">
        <v>-17.06</v>
      </c>
      <c r="D337" s="3">
        <v>93.2</v>
      </c>
      <c r="E337" s="3">
        <v>110.3</v>
      </c>
      <c r="F337" s="4">
        <f t="shared" si="1"/>
        <v>0.1564923234</v>
      </c>
      <c r="G337" s="10">
        <f t="shared" si="2"/>
        <v>0.962578424</v>
      </c>
    </row>
    <row r="338" hidden="1">
      <c r="A338" s="3">
        <v>337.0</v>
      </c>
      <c r="B338" s="3" t="s">
        <v>487</v>
      </c>
      <c r="C338" s="3">
        <v>-17.47</v>
      </c>
      <c r="D338" s="3">
        <v>95.2</v>
      </c>
      <c r="E338" s="3">
        <v>112.6</v>
      </c>
      <c r="F338" s="4">
        <f t="shared" si="1"/>
        <v>0.1572785898</v>
      </c>
      <c r="G338" s="10">
        <f t="shared" si="2"/>
        <v>0.9623637132</v>
      </c>
    </row>
    <row r="339" hidden="1">
      <c r="A339" s="3">
        <v>338.0</v>
      </c>
      <c r="B339" s="3" t="s">
        <v>488</v>
      </c>
      <c r="C339" s="3">
        <v>-17.66</v>
      </c>
      <c r="D339" s="3">
        <v>93.3</v>
      </c>
      <c r="E339" s="3">
        <v>111.0</v>
      </c>
      <c r="F339" s="4">
        <f t="shared" si="1"/>
        <v>0.1496815442</v>
      </c>
      <c r="G339" s="10">
        <f t="shared" si="2"/>
        <v>0.96442562</v>
      </c>
    </row>
    <row r="340" hidden="1">
      <c r="A340" s="3">
        <v>339.0</v>
      </c>
      <c r="B340" s="3" t="s">
        <v>489</v>
      </c>
      <c r="C340" s="3">
        <v>-17.84</v>
      </c>
      <c r="D340" s="3">
        <v>94.5</v>
      </c>
      <c r="E340" s="3">
        <v>112.4</v>
      </c>
      <c r="F340" s="4">
        <f t="shared" si="1"/>
        <v>0.1499949034</v>
      </c>
      <c r="G340" s="10">
        <f t="shared" si="2"/>
        <v>0.964341127</v>
      </c>
    </row>
    <row r="341" hidden="1">
      <c r="A341" s="3">
        <v>340.0</v>
      </c>
      <c r="B341" s="3" t="s">
        <v>490</v>
      </c>
      <c r="C341" s="3">
        <v>-17.97</v>
      </c>
      <c r="D341" s="3">
        <v>97.2</v>
      </c>
      <c r="E341" s="3">
        <v>115.2</v>
      </c>
      <c r="F341" s="4">
        <f t="shared" si="1"/>
        <v>0.1545971748</v>
      </c>
      <c r="G341" s="10">
        <f t="shared" si="2"/>
        <v>0.9630946949</v>
      </c>
    </row>
    <row r="342" hidden="1">
      <c r="A342" s="3">
        <v>341.0</v>
      </c>
      <c r="B342" s="3" t="s">
        <v>491</v>
      </c>
      <c r="C342" s="3">
        <v>-18.04</v>
      </c>
      <c r="D342" s="3">
        <v>94.5</v>
      </c>
      <c r="E342" s="3">
        <v>112.6</v>
      </c>
      <c r="F342" s="4">
        <f t="shared" si="1"/>
        <v>0.1477423748</v>
      </c>
      <c r="G342" s="10">
        <f t="shared" si="2"/>
        <v>0.9649474362</v>
      </c>
    </row>
    <row r="343" hidden="1">
      <c r="A343" s="3">
        <v>342.0</v>
      </c>
      <c r="B343" s="3" t="s">
        <v>492</v>
      </c>
      <c r="C343" s="3">
        <v>-18.33</v>
      </c>
      <c r="D343" s="3">
        <v>97.8</v>
      </c>
      <c r="E343" s="3">
        <v>116.2</v>
      </c>
      <c r="F343" s="4">
        <f t="shared" si="1"/>
        <v>0.1513717265</v>
      </c>
      <c r="G343" s="10">
        <f t="shared" si="2"/>
        <v>0.9639693222</v>
      </c>
    </row>
    <row r="344" hidden="1">
      <c r="A344" s="3">
        <v>343.0</v>
      </c>
      <c r="B344" s="3" t="s">
        <v>493</v>
      </c>
      <c r="C344" s="3">
        <v>-18.87</v>
      </c>
      <c r="D344" s="3">
        <v>93.3</v>
      </c>
      <c r="E344" s="3">
        <v>112.2</v>
      </c>
      <c r="F344" s="4">
        <f t="shared" si="1"/>
        <v>0.1365047655</v>
      </c>
      <c r="G344" s="10">
        <f t="shared" si="2"/>
        <v>0.9679360884</v>
      </c>
    </row>
    <row r="345" hidden="1">
      <c r="A345" s="3">
        <v>344.0</v>
      </c>
      <c r="B345" s="3" t="s">
        <v>494</v>
      </c>
      <c r="C345" s="3">
        <v>-19.0</v>
      </c>
      <c r="D345" s="3">
        <v>90.9</v>
      </c>
      <c r="E345" s="3">
        <v>109.9</v>
      </c>
      <c r="F345" s="4">
        <f t="shared" si="1"/>
        <v>0.1303226931</v>
      </c>
      <c r="G345" s="10">
        <f t="shared" si="2"/>
        <v>0.9695549775</v>
      </c>
    </row>
    <row r="346" hidden="1">
      <c r="A346" s="3">
        <v>345.0</v>
      </c>
      <c r="B346" s="3" t="s">
        <v>495</v>
      </c>
      <c r="C346" s="3">
        <v>-19.04</v>
      </c>
      <c r="D346" s="3">
        <v>96.5</v>
      </c>
      <c r="E346" s="3">
        <v>115.5</v>
      </c>
      <c r="F346" s="4">
        <f t="shared" si="1"/>
        <v>0.1421830748</v>
      </c>
      <c r="G346" s="10">
        <f t="shared" si="2"/>
        <v>0.9664334134</v>
      </c>
    </row>
    <row r="347" hidden="1">
      <c r="A347" s="3">
        <v>346.0</v>
      </c>
      <c r="B347" s="3" t="s">
        <v>496</v>
      </c>
      <c r="C347" s="3">
        <v>-19.43</v>
      </c>
      <c r="D347" s="3">
        <v>96.0</v>
      </c>
      <c r="E347" s="3">
        <v>115.4</v>
      </c>
      <c r="F347" s="4">
        <f t="shared" si="1"/>
        <v>0.1369848836</v>
      </c>
      <c r="G347" s="10">
        <f t="shared" si="2"/>
        <v>0.9678096182</v>
      </c>
    </row>
    <row r="348" hidden="1">
      <c r="A348" s="3">
        <v>347.0</v>
      </c>
      <c r="B348" s="3" t="s">
        <v>497</v>
      </c>
      <c r="C348" s="3">
        <v>-19.69</v>
      </c>
      <c r="D348" s="3">
        <v>89.8</v>
      </c>
      <c r="E348" s="3">
        <v>109.5</v>
      </c>
      <c r="F348" s="4">
        <f t="shared" si="1"/>
        <v>0.1209573153</v>
      </c>
      <c r="G348" s="10">
        <f t="shared" si="2"/>
        <v>0.971974147</v>
      </c>
    </row>
    <row r="349" hidden="1">
      <c r="A349" s="3">
        <v>348.0</v>
      </c>
      <c r="B349" s="3" t="s">
        <v>498</v>
      </c>
      <c r="C349" s="3">
        <v>-19.7</v>
      </c>
      <c r="D349" s="3">
        <v>95.4</v>
      </c>
      <c r="E349" s="3">
        <v>115.1</v>
      </c>
      <c r="F349" s="4">
        <f t="shared" si="1"/>
        <v>0.1327076679</v>
      </c>
      <c r="G349" s="10">
        <f t="shared" si="2"/>
        <v>0.9689325223</v>
      </c>
    </row>
    <row r="350" hidden="1">
      <c r="A350" s="3">
        <v>349.0</v>
      </c>
      <c r="B350" s="3" t="s">
        <v>499</v>
      </c>
      <c r="C350" s="3">
        <v>-19.72</v>
      </c>
      <c r="D350" s="3">
        <v>100.7</v>
      </c>
      <c r="E350" s="3">
        <v>120.4</v>
      </c>
      <c r="F350" s="4">
        <f t="shared" si="1"/>
        <v>0.1434732022</v>
      </c>
      <c r="G350" s="10">
        <f t="shared" si="2"/>
        <v>0.9660898805</v>
      </c>
    </row>
    <row r="351" hidden="1">
      <c r="A351" s="3">
        <v>350.0</v>
      </c>
      <c r="B351" s="3" t="s">
        <v>500</v>
      </c>
      <c r="C351" s="3">
        <v>-20.27</v>
      </c>
      <c r="D351" s="3">
        <v>93.3</v>
      </c>
      <c r="E351" s="3">
        <v>113.6</v>
      </c>
      <c r="F351" s="4">
        <f t="shared" si="1"/>
        <v>0.1225356861</v>
      </c>
      <c r="G351" s="10">
        <f t="shared" si="2"/>
        <v>0.9715692169</v>
      </c>
    </row>
    <row r="352" hidden="1">
      <c r="A352" s="3">
        <v>351.0</v>
      </c>
      <c r="B352" s="3" t="s">
        <v>501</v>
      </c>
      <c r="C352" s="3">
        <v>-20.52</v>
      </c>
      <c r="D352" s="3">
        <v>96.9</v>
      </c>
      <c r="E352" s="3">
        <v>117.5</v>
      </c>
      <c r="F352" s="4">
        <f t="shared" si="1"/>
        <v>0.1270177762</v>
      </c>
      <c r="G352" s="10">
        <f t="shared" si="2"/>
        <v>0.9704132162</v>
      </c>
    </row>
    <row r="353" hidden="1">
      <c r="A353" s="3">
        <v>352.0</v>
      </c>
      <c r="B353" s="3" t="s">
        <v>502</v>
      </c>
      <c r="C353" s="3">
        <v>-21.33</v>
      </c>
      <c r="D353" s="3">
        <v>91.3</v>
      </c>
      <c r="E353" s="3">
        <v>112.7</v>
      </c>
      <c r="F353" s="4">
        <f t="shared" si="1"/>
        <v>0.1085356909</v>
      </c>
      <c r="G353" s="10">
        <f t="shared" si="2"/>
        <v>0.9751223319</v>
      </c>
    </row>
    <row r="354" hidden="1">
      <c r="A354" s="3">
        <v>353.0</v>
      </c>
      <c r="B354" s="3" t="s">
        <v>503</v>
      </c>
      <c r="C354" s="3">
        <v>-22.07</v>
      </c>
      <c r="D354" s="3">
        <v>89.2</v>
      </c>
      <c r="E354" s="3">
        <v>111.2</v>
      </c>
      <c r="F354" s="4">
        <f t="shared" si="1"/>
        <v>0.0993477034</v>
      </c>
      <c r="G354" s="10">
        <f t="shared" si="2"/>
        <v>0.9774078051</v>
      </c>
    </row>
    <row r="355" hidden="1">
      <c r="A355" s="3">
        <v>354.0</v>
      </c>
      <c r="B355" s="3" t="s">
        <v>504</v>
      </c>
      <c r="C355" s="3">
        <v>-22.26</v>
      </c>
      <c r="D355" s="3">
        <v>94.4</v>
      </c>
      <c r="E355" s="3">
        <v>116.7</v>
      </c>
      <c r="F355" s="4">
        <f t="shared" si="1"/>
        <v>0.1071054466</v>
      </c>
      <c r="G355" s="10">
        <f t="shared" si="2"/>
        <v>0.9754804826</v>
      </c>
    </row>
    <row r="356" hidden="1">
      <c r="A356" s="3">
        <v>355.0</v>
      </c>
      <c r="B356" s="3" t="s">
        <v>505</v>
      </c>
      <c r="C356" s="3">
        <v>-22.42</v>
      </c>
      <c r="D356" s="3">
        <v>96.6</v>
      </c>
      <c r="E356" s="3">
        <v>119.0</v>
      </c>
      <c r="F356" s="4">
        <f t="shared" si="1"/>
        <v>0.1105193122</v>
      </c>
      <c r="G356" s="10">
        <f t="shared" si="2"/>
        <v>0.9746241402</v>
      </c>
    </row>
    <row r="357" hidden="1">
      <c r="A357" s="3">
        <v>356.0</v>
      </c>
      <c r="B357" s="3" t="s">
        <v>506</v>
      </c>
      <c r="C357" s="3">
        <v>-22.52</v>
      </c>
      <c r="D357" s="3">
        <v>91.7</v>
      </c>
      <c r="E357" s="3">
        <v>114.2</v>
      </c>
      <c r="F357" s="4">
        <f t="shared" si="1"/>
        <v>0.1002644962</v>
      </c>
      <c r="G357" s="10">
        <f t="shared" si="2"/>
        <v>0.9771813761</v>
      </c>
    </row>
    <row r="358" hidden="1">
      <c r="A358" s="3">
        <v>357.0</v>
      </c>
      <c r="B358" s="3" t="s">
        <v>507</v>
      </c>
      <c r="C358" s="3">
        <v>-22.83</v>
      </c>
      <c r="D358" s="3">
        <v>90.5</v>
      </c>
      <c r="E358" s="3">
        <v>113.4</v>
      </c>
      <c r="F358" s="4">
        <f t="shared" si="1"/>
        <v>0.09485760462</v>
      </c>
      <c r="G358" s="10">
        <f t="shared" si="2"/>
        <v>0.9785116437</v>
      </c>
    </row>
    <row r="359" hidden="1">
      <c r="A359" s="3">
        <v>358.0</v>
      </c>
      <c r="B359" s="3" t="s">
        <v>508</v>
      </c>
      <c r="C359" s="3">
        <v>-22.84</v>
      </c>
      <c r="D359" s="3">
        <v>95.3</v>
      </c>
      <c r="E359" s="3">
        <v>118.1</v>
      </c>
      <c r="F359" s="4">
        <f t="shared" si="1"/>
        <v>0.1047975851</v>
      </c>
      <c r="G359" s="10">
        <f t="shared" si="2"/>
        <v>0.9760565374</v>
      </c>
    </row>
    <row r="360" hidden="1">
      <c r="A360" s="3">
        <v>359.0</v>
      </c>
      <c r="B360" s="3" t="s">
        <v>509</v>
      </c>
      <c r="C360" s="3">
        <v>-22.93</v>
      </c>
      <c r="D360" s="3">
        <v>91.9</v>
      </c>
      <c r="E360" s="3">
        <v>114.8</v>
      </c>
      <c r="F360" s="4">
        <f t="shared" si="1"/>
        <v>0.09753623892</v>
      </c>
      <c r="G360" s="10">
        <f t="shared" si="2"/>
        <v>0.9778541543</v>
      </c>
    </row>
    <row r="361" hidden="1">
      <c r="A361" s="3">
        <v>360.0</v>
      </c>
      <c r="B361" s="3" t="s">
        <v>510</v>
      </c>
      <c r="C361" s="3">
        <v>-25.61</v>
      </c>
      <c r="D361" s="3">
        <v>92.3</v>
      </c>
      <c r="E361" s="3">
        <v>117.9</v>
      </c>
      <c r="F361" s="4">
        <f t="shared" si="1"/>
        <v>0.07959030077</v>
      </c>
      <c r="G361" s="10">
        <f t="shared" si="2"/>
        <v>0.9822023815</v>
      </c>
    </row>
    <row r="362" hidden="1">
      <c r="A362" s="3">
        <v>361.0</v>
      </c>
      <c r="B362" s="3" t="s">
        <v>511</v>
      </c>
      <c r="C362" s="3">
        <v>-25.73</v>
      </c>
      <c r="D362" s="3">
        <v>85.7</v>
      </c>
      <c r="E362" s="3">
        <v>111.4</v>
      </c>
      <c r="F362" s="4">
        <f t="shared" si="1"/>
        <v>0.06768885775</v>
      </c>
      <c r="G362" s="10">
        <f t="shared" si="2"/>
        <v>0.9850141721</v>
      </c>
    </row>
    <row r="363" hidden="1">
      <c r="A363" s="3">
        <v>362.0</v>
      </c>
      <c r="B363" s="3" t="s">
        <v>512</v>
      </c>
      <c r="C363" s="3">
        <v>-30.83</v>
      </c>
      <c r="D363" s="3">
        <v>85.5</v>
      </c>
      <c r="E363" s="3">
        <v>116.3</v>
      </c>
      <c r="F363" s="4">
        <f t="shared" si="1"/>
        <v>0.04408426559</v>
      </c>
      <c r="G363" s="10">
        <f t="shared" si="2"/>
        <v>0.9904287384</v>
      </c>
    </row>
    <row r="364" hidden="1">
      <c r="G364" s="10"/>
    </row>
    <row r="365" hidden="1">
      <c r="G365" s="10"/>
    </row>
    <row r="366" hidden="1">
      <c r="G366" s="10"/>
    </row>
    <row r="367" hidden="1">
      <c r="G367" s="10"/>
    </row>
    <row r="368" hidden="1">
      <c r="G368" s="10"/>
    </row>
    <row r="369" hidden="1">
      <c r="G369" s="10"/>
    </row>
    <row r="370" hidden="1">
      <c r="G370" s="10"/>
    </row>
    <row r="371" hidden="1">
      <c r="G371" s="10"/>
    </row>
    <row r="372" hidden="1">
      <c r="G372" s="10"/>
    </row>
    <row r="373" hidden="1">
      <c r="G373" s="10"/>
    </row>
    <row r="374" hidden="1">
      <c r="G374" s="10"/>
    </row>
    <row r="375" hidden="1">
      <c r="G375" s="10"/>
    </row>
    <row r="376" hidden="1">
      <c r="G376" s="10"/>
    </row>
    <row r="377" hidden="1">
      <c r="G377" s="10"/>
    </row>
    <row r="378" hidden="1">
      <c r="G378" s="10"/>
    </row>
    <row r="379" hidden="1">
      <c r="G379" s="10"/>
    </row>
    <row r="380" hidden="1">
      <c r="G380" s="10"/>
    </row>
    <row r="381" hidden="1">
      <c r="G381" s="10"/>
    </row>
    <row r="382" hidden="1">
      <c r="G382" s="10"/>
    </row>
    <row r="383" hidden="1">
      <c r="G383" s="10"/>
    </row>
    <row r="384" hidden="1">
      <c r="G384" s="10"/>
    </row>
    <row r="385" hidden="1">
      <c r="G385" s="10"/>
    </row>
    <row r="386" hidden="1">
      <c r="G386" s="10"/>
    </row>
    <row r="387" hidden="1">
      <c r="G387" s="10"/>
    </row>
    <row r="388" hidden="1">
      <c r="G388" s="10"/>
    </row>
    <row r="389" hidden="1">
      <c r="G389" s="10"/>
    </row>
    <row r="390" hidden="1">
      <c r="G390" s="10"/>
    </row>
    <row r="391" hidden="1">
      <c r="G391" s="10"/>
    </row>
    <row r="392" hidden="1">
      <c r="G392" s="10"/>
    </row>
    <row r="393" hidden="1">
      <c r="G393" s="10"/>
    </row>
    <row r="394" hidden="1">
      <c r="G394" s="10"/>
    </row>
    <row r="395" hidden="1">
      <c r="G395" s="10"/>
    </row>
    <row r="396" hidden="1">
      <c r="G396" s="10"/>
    </row>
    <row r="397" hidden="1">
      <c r="G397" s="10"/>
    </row>
    <row r="398" hidden="1">
      <c r="G398" s="10"/>
    </row>
    <row r="399" hidden="1">
      <c r="G399" s="10"/>
    </row>
    <row r="400" hidden="1">
      <c r="G400" s="10"/>
    </row>
    <row r="401" hidden="1">
      <c r="G401" s="10"/>
    </row>
    <row r="402" hidden="1">
      <c r="G402" s="10"/>
    </row>
    <row r="403" hidden="1">
      <c r="G403" s="10"/>
    </row>
    <row r="404" hidden="1">
      <c r="G404" s="10"/>
    </row>
    <row r="405" hidden="1">
      <c r="G405" s="10"/>
    </row>
    <row r="406" hidden="1">
      <c r="G406" s="10"/>
    </row>
    <row r="407" hidden="1">
      <c r="G407" s="10"/>
    </row>
    <row r="408" hidden="1">
      <c r="G408" s="10"/>
    </row>
    <row r="409" hidden="1">
      <c r="G409" s="10"/>
    </row>
    <row r="410" hidden="1">
      <c r="G410" s="10"/>
    </row>
    <row r="411" hidden="1">
      <c r="G411" s="10"/>
    </row>
    <row r="412" hidden="1">
      <c r="G412" s="10"/>
    </row>
    <row r="413" hidden="1">
      <c r="G413" s="10"/>
    </row>
    <row r="414" hidden="1">
      <c r="G414" s="10"/>
    </row>
    <row r="415" hidden="1">
      <c r="G415" s="10"/>
    </row>
    <row r="416" hidden="1">
      <c r="G416" s="10"/>
    </row>
    <row r="417" hidden="1">
      <c r="G417" s="10"/>
    </row>
    <row r="418" hidden="1">
      <c r="G418" s="10"/>
    </row>
    <row r="419" hidden="1">
      <c r="G419" s="10"/>
    </row>
    <row r="420" hidden="1">
      <c r="G420" s="10"/>
    </row>
    <row r="421" hidden="1">
      <c r="G421" s="10"/>
    </row>
    <row r="422" hidden="1">
      <c r="G422" s="10"/>
    </row>
    <row r="423" hidden="1">
      <c r="G423" s="10"/>
    </row>
    <row r="424" hidden="1">
      <c r="G424" s="10"/>
    </row>
    <row r="425" hidden="1">
      <c r="G425" s="10"/>
    </row>
    <row r="426" hidden="1">
      <c r="G426" s="10"/>
    </row>
    <row r="427" hidden="1">
      <c r="G427" s="10"/>
    </row>
    <row r="428" hidden="1">
      <c r="G428" s="10"/>
    </row>
    <row r="429" hidden="1">
      <c r="G429" s="10"/>
    </row>
    <row r="430" hidden="1">
      <c r="G430" s="10"/>
    </row>
    <row r="431" hidden="1">
      <c r="G431" s="10"/>
    </row>
    <row r="432" hidden="1">
      <c r="G432" s="10"/>
    </row>
    <row r="433" hidden="1">
      <c r="G433" s="10"/>
    </row>
    <row r="434" hidden="1">
      <c r="G434" s="10"/>
    </row>
    <row r="435" hidden="1">
      <c r="G435" s="10"/>
    </row>
    <row r="436" hidden="1">
      <c r="G436" s="10"/>
    </row>
    <row r="437" hidden="1">
      <c r="G437" s="10"/>
    </row>
    <row r="438" hidden="1">
      <c r="G438" s="10"/>
    </row>
    <row r="439" hidden="1">
      <c r="G439" s="10"/>
    </row>
    <row r="440" hidden="1">
      <c r="G440" s="10"/>
    </row>
    <row r="441" hidden="1">
      <c r="G441" s="10"/>
    </row>
    <row r="442" hidden="1">
      <c r="G442" s="10"/>
    </row>
    <row r="443" hidden="1">
      <c r="G443" s="10"/>
    </row>
    <row r="444" hidden="1">
      <c r="G444" s="10"/>
    </row>
    <row r="445" hidden="1">
      <c r="G445" s="10"/>
    </row>
    <row r="446" hidden="1">
      <c r="G446" s="10"/>
    </row>
    <row r="447" hidden="1">
      <c r="G447" s="10"/>
    </row>
    <row r="448" hidden="1">
      <c r="G448" s="10"/>
    </row>
    <row r="449" hidden="1">
      <c r="G449" s="10"/>
    </row>
    <row r="450" hidden="1">
      <c r="G450" s="10"/>
    </row>
    <row r="451" hidden="1">
      <c r="G451" s="10"/>
    </row>
    <row r="452" hidden="1">
      <c r="G452" s="10"/>
    </row>
    <row r="453" hidden="1">
      <c r="G453" s="10"/>
    </row>
    <row r="454" hidden="1">
      <c r="G454" s="10"/>
    </row>
    <row r="455" hidden="1">
      <c r="G455" s="10"/>
    </row>
    <row r="456" hidden="1">
      <c r="G456" s="10"/>
    </row>
    <row r="457" hidden="1">
      <c r="G457" s="10"/>
    </row>
    <row r="458" hidden="1">
      <c r="G458" s="10"/>
    </row>
    <row r="459" hidden="1">
      <c r="G459" s="10"/>
    </row>
    <row r="460" hidden="1">
      <c r="G460" s="10"/>
    </row>
    <row r="461" hidden="1">
      <c r="G461" s="10"/>
    </row>
    <row r="462" hidden="1">
      <c r="G462" s="10"/>
    </row>
    <row r="463" hidden="1">
      <c r="G463" s="10"/>
    </row>
    <row r="464" hidden="1">
      <c r="G464" s="10"/>
    </row>
    <row r="465" hidden="1">
      <c r="G465" s="10"/>
    </row>
    <row r="466" hidden="1">
      <c r="G466" s="10"/>
    </row>
    <row r="467" hidden="1">
      <c r="G467" s="10"/>
    </row>
    <row r="468" hidden="1">
      <c r="G468" s="10"/>
    </row>
    <row r="469" hidden="1">
      <c r="G469" s="10"/>
    </row>
    <row r="470" hidden="1">
      <c r="G470" s="10"/>
    </row>
    <row r="471" hidden="1">
      <c r="G471" s="10"/>
    </row>
    <row r="472" hidden="1">
      <c r="G472" s="10"/>
    </row>
    <row r="473" hidden="1">
      <c r="G473" s="10"/>
    </row>
    <row r="474" hidden="1">
      <c r="G474" s="10"/>
    </row>
    <row r="475" hidden="1">
      <c r="G475" s="10"/>
    </row>
    <row r="476" hidden="1">
      <c r="G476" s="10"/>
    </row>
    <row r="477" hidden="1">
      <c r="G477" s="10"/>
    </row>
    <row r="478" hidden="1">
      <c r="G478" s="10"/>
    </row>
    <row r="479" hidden="1">
      <c r="G479" s="10"/>
    </row>
    <row r="480" hidden="1">
      <c r="G480" s="10"/>
    </row>
    <row r="481" hidden="1">
      <c r="G481" s="10"/>
    </row>
    <row r="482" hidden="1">
      <c r="G482" s="10"/>
    </row>
    <row r="483" hidden="1">
      <c r="G483" s="10"/>
    </row>
    <row r="484" hidden="1">
      <c r="G484" s="10"/>
    </row>
    <row r="485" hidden="1">
      <c r="G485" s="10"/>
    </row>
    <row r="486" hidden="1">
      <c r="G486" s="10"/>
    </row>
    <row r="487" hidden="1">
      <c r="G487" s="10"/>
    </row>
    <row r="488" hidden="1">
      <c r="G488" s="10"/>
    </row>
    <row r="489" hidden="1">
      <c r="G489" s="10"/>
    </row>
    <row r="490" hidden="1">
      <c r="G490" s="10"/>
    </row>
    <row r="491" hidden="1">
      <c r="G491" s="10"/>
    </row>
    <row r="492" hidden="1">
      <c r="G492" s="10"/>
    </row>
    <row r="493" hidden="1">
      <c r="G493" s="10"/>
    </row>
    <row r="494" hidden="1">
      <c r="G494" s="10"/>
    </row>
    <row r="495" hidden="1">
      <c r="G495" s="10"/>
    </row>
    <row r="496" hidden="1">
      <c r="G496" s="10"/>
    </row>
    <row r="497" hidden="1">
      <c r="G497" s="10"/>
    </row>
    <row r="498" hidden="1">
      <c r="G498" s="10"/>
    </row>
    <row r="499" hidden="1">
      <c r="G499" s="10"/>
    </row>
    <row r="500" hidden="1">
      <c r="G500" s="10"/>
    </row>
    <row r="501" hidden="1">
      <c r="G501" s="10"/>
    </row>
    <row r="502" hidden="1">
      <c r="G502" s="10"/>
    </row>
    <row r="503" hidden="1">
      <c r="G503" s="10"/>
    </row>
    <row r="504" hidden="1">
      <c r="G504" s="10"/>
    </row>
    <row r="505" hidden="1">
      <c r="G505" s="10"/>
    </row>
    <row r="506" hidden="1">
      <c r="G506" s="10"/>
    </row>
    <row r="507" hidden="1">
      <c r="G507" s="10"/>
    </row>
    <row r="508" hidden="1">
      <c r="G508" s="10"/>
    </row>
    <row r="509" hidden="1">
      <c r="G509" s="10"/>
    </row>
    <row r="510" hidden="1">
      <c r="G510" s="10"/>
    </row>
    <row r="511" hidden="1">
      <c r="G511" s="10"/>
    </row>
    <row r="512" hidden="1">
      <c r="G512" s="10"/>
    </row>
    <row r="513" hidden="1">
      <c r="G513" s="10"/>
    </row>
    <row r="514" hidden="1">
      <c r="G514" s="10"/>
    </row>
    <row r="515" hidden="1">
      <c r="G515" s="10"/>
    </row>
    <row r="516" hidden="1">
      <c r="G516" s="10"/>
    </row>
    <row r="517" hidden="1">
      <c r="G517" s="10"/>
    </row>
    <row r="518" hidden="1">
      <c r="G518" s="10"/>
    </row>
    <row r="519" hidden="1">
      <c r="G519" s="10"/>
    </row>
    <row r="520" hidden="1">
      <c r="G520" s="10"/>
    </row>
    <row r="521" hidden="1">
      <c r="G521" s="10"/>
    </row>
    <row r="522" hidden="1">
      <c r="G522" s="10"/>
    </row>
    <row r="523" hidden="1">
      <c r="G523" s="10"/>
    </row>
    <row r="524" hidden="1">
      <c r="G524" s="10"/>
    </row>
    <row r="525" hidden="1">
      <c r="G525" s="10"/>
    </row>
    <row r="526" hidden="1">
      <c r="G526" s="10"/>
    </row>
    <row r="527" hidden="1">
      <c r="G527" s="10"/>
    </row>
    <row r="528" hidden="1">
      <c r="G528" s="10"/>
    </row>
    <row r="529" hidden="1">
      <c r="G529" s="10"/>
    </row>
    <row r="530" hidden="1">
      <c r="G530" s="10"/>
    </row>
    <row r="531" hidden="1">
      <c r="G531" s="10"/>
    </row>
    <row r="532" hidden="1">
      <c r="G532" s="10"/>
    </row>
    <row r="533" hidden="1">
      <c r="G533" s="10"/>
    </row>
    <row r="534" hidden="1">
      <c r="G534" s="10"/>
    </row>
    <row r="535" hidden="1">
      <c r="G535" s="10"/>
    </row>
    <row r="536" hidden="1">
      <c r="G536" s="10"/>
    </row>
    <row r="537" hidden="1">
      <c r="G537" s="10"/>
    </row>
    <row r="538" hidden="1">
      <c r="G538" s="10"/>
    </row>
    <row r="539" hidden="1">
      <c r="G539" s="10"/>
    </row>
    <row r="540" hidden="1">
      <c r="G540" s="10"/>
    </row>
    <row r="541" hidden="1">
      <c r="G541" s="10"/>
    </row>
    <row r="542" hidden="1">
      <c r="G542" s="10"/>
    </row>
    <row r="543" hidden="1">
      <c r="G543" s="10"/>
    </row>
    <row r="544" hidden="1">
      <c r="G544" s="10"/>
    </row>
    <row r="545" hidden="1">
      <c r="G545" s="10"/>
    </row>
    <row r="546" hidden="1">
      <c r="G546" s="10"/>
    </row>
    <row r="547" hidden="1">
      <c r="G547" s="10"/>
    </row>
    <row r="548" hidden="1">
      <c r="G548" s="10"/>
    </row>
    <row r="549" hidden="1">
      <c r="G549" s="10"/>
    </row>
    <row r="550" hidden="1">
      <c r="G550" s="10"/>
    </row>
    <row r="551" hidden="1">
      <c r="G551" s="10"/>
    </row>
    <row r="552" hidden="1">
      <c r="G552" s="10"/>
    </row>
    <row r="553" hidden="1">
      <c r="G553" s="10"/>
    </row>
    <row r="554" hidden="1">
      <c r="G554" s="10"/>
    </row>
    <row r="555" hidden="1">
      <c r="G555" s="10"/>
    </row>
    <row r="556" hidden="1">
      <c r="G556" s="10"/>
    </row>
    <row r="557" hidden="1">
      <c r="G557" s="10"/>
    </row>
    <row r="558" hidden="1">
      <c r="G558" s="10"/>
    </row>
    <row r="559" hidden="1">
      <c r="G559" s="10"/>
    </row>
    <row r="560" hidden="1">
      <c r="G560" s="10"/>
    </row>
    <row r="561" hidden="1">
      <c r="G561" s="10"/>
    </row>
    <row r="562" hidden="1">
      <c r="G562" s="10"/>
    </row>
    <row r="563" hidden="1">
      <c r="G563" s="10"/>
    </row>
    <row r="564" hidden="1">
      <c r="G564" s="10"/>
    </row>
    <row r="565" hidden="1">
      <c r="G565" s="10"/>
    </row>
    <row r="566" hidden="1">
      <c r="G566" s="10"/>
    </row>
    <row r="567" hidden="1">
      <c r="G567" s="10"/>
    </row>
    <row r="568" hidden="1">
      <c r="G568" s="10"/>
    </row>
    <row r="569" hidden="1">
      <c r="G569" s="10"/>
    </row>
    <row r="570" hidden="1">
      <c r="G570" s="10"/>
    </row>
    <row r="571" hidden="1">
      <c r="G571" s="10"/>
    </row>
    <row r="572" hidden="1">
      <c r="G572" s="10"/>
    </row>
    <row r="573" hidden="1">
      <c r="G573" s="10"/>
    </row>
    <row r="574" hidden="1">
      <c r="G574" s="10"/>
    </row>
    <row r="575" hidden="1">
      <c r="G575" s="10"/>
    </row>
    <row r="576" hidden="1">
      <c r="G576" s="10"/>
    </row>
    <row r="577" hidden="1">
      <c r="G577" s="10"/>
    </row>
    <row r="578" hidden="1">
      <c r="G578" s="10"/>
    </row>
    <row r="579" hidden="1">
      <c r="G579" s="10"/>
    </row>
    <row r="580" hidden="1">
      <c r="G580" s="10"/>
    </row>
    <row r="581" hidden="1">
      <c r="G581" s="10"/>
    </row>
    <row r="582" hidden="1">
      <c r="G582" s="10"/>
    </row>
    <row r="583" hidden="1">
      <c r="G583" s="10"/>
    </row>
    <row r="584" hidden="1">
      <c r="G584" s="10"/>
    </row>
    <row r="585" hidden="1">
      <c r="G585" s="10"/>
    </row>
    <row r="586" hidden="1">
      <c r="G586" s="10"/>
    </row>
    <row r="587" hidden="1">
      <c r="G587" s="10"/>
    </row>
    <row r="588" hidden="1">
      <c r="G588" s="10"/>
    </row>
    <row r="589" hidden="1">
      <c r="G589" s="10"/>
    </row>
    <row r="590" hidden="1">
      <c r="G590" s="10"/>
    </row>
    <row r="591" hidden="1">
      <c r="G591" s="10"/>
    </row>
    <row r="592" hidden="1">
      <c r="G592" s="10"/>
    </row>
    <row r="593" hidden="1">
      <c r="G593" s="10"/>
    </row>
    <row r="594" hidden="1">
      <c r="G594" s="10"/>
    </row>
    <row r="595" hidden="1">
      <c r="G595" s="10"/>
    </row>
    <row r="596" hidden="1">
      <c r="G596" s="10"/>
    </row>
    <row r="597" hidden="1">
      <c r="G597" s="10"/>
    </row>
    <row r="598" hidden="1">
      <c r="G598" s="10"/>
    </row>
    <row r="599" hidden="1">
      <c r="G599" s="10"/>
    </row>
    <row r="600" hidden="1">
      <c r="G600" s="10"/>
    </row>
    <row r="601" hidden="1">
      <c r="G601" s="10"/>
    </row>
    <row r="602" hidden="1">
      <c r="G602" s="10"/>
    </row>
    <row r="603" hidden="1">
      <c r="G603" s="10"/>
    </row>
    <row r="604" hidden="1">
      <c r="G604" s="10"/>
    </row>
    <row r="605" hidden="1">
      <c r="G605" s="10"/>
    </row>
    <row r="606" hidden="1">
      <c r="G606" s="10"/>
    </row>
    <row r="607" hidden="1">
      <c r="G607" s="10"/>
    </row>
    <row r="608" hidden="1">
      <c r="G608" s="10"/>
    </row>
    <row r="609" hidden="1">
      <c r="G609" s="10"/>
    </row>
    <row r="610" hidden="1">
      <c r="G610" s="10"/>
    </row>
    <row r="611" hidden="1">
      <c r="G611" s="10"/>
    </row>
    <row r="612" hidden="1">
      <c r="G612" s="10"/>
    </row>
    <row r="613" hidden="1">
      <c r="G613" s="10"/>
    </row>
    <row r="614" hidden="1">
      <c r="G614" s="10"/>
    </row>
    <row r="615" hidden="1">
      <c r="G615" s="10"/>
    </row>
    <row r="616" hidden="1">
      <c r="G616" s="10"/>
    </row>
    <row r="617" hidden="1">
      <c r="G617" s="10"/>
    </row>
    <row r="618" hidden="1">
      <c r="G618" s="10"/>
    </row>
    <row r="619" hidden="1">
      <c r="G619" s="10"/>
    </row>
    <row r="620" hidden="1">
      <c r="G620" s="10"/>
    </row>
    <row r="621" hidden="1">
      <c r="G621" s="10"/>
    </row>
    <row r="622" hidden="1">
      <c r="G622" s="10"/>
    </row>
    <row r="623" hidden="1">
      <c r="G623" s="10"/>
    </row>
    <row r="624" hidden="1">
      <c r="G624" s="10"/>
    </row>
    <row r="625" hidden="1">
      <c r="G625" s="10"/>
    </row>
    <row r="626" hidden="1">
      <c r="G626" s="10"/>
    </row>
    <row r="627" hidden="1">
      <c r="G627" s="10"/>
    </row>
    <row r="628" hidden="1">
      <c r="G628" s="10"/>
    </row>
    <row r="629" hidden="1">
      <c r="G629" s="10"/>
    </row>
    <row r="630" hidden="1">
      <c r="G630" s="10"/>
    </row>
    <row r="631" hidden="1">
      <c r="G631" s="10"/>
    </row>
    <row r="632" hidden="1">
      <c r="G632" s="10"/>
    </row>
    <row r="633" hidden="1">
      <c r="G633" s="10"/>
    </row>
    <row r="634" hidden="1">
      <c r="G634" s="10"/>
    </row>
    <row r="635" hidden="1">
      <c r="G635" s="10"/>
    </row>
    <row r="636" hidden="1">
      <c r="G636" s="10"/>
    </row>
    <row r="637" hidden="1">
      <c r="G637" s="10"/>
    </row>
    <row r="638" hidden="1">
      <c r="G638" s="10"/>
    </row>
    <row r="639" hidden="1">
      <c r="G639" s="10"/>
    </row>
    <row r="640" hidden="1">
      <c r="G640" s="10"/>
    </row>
    <row r="641" hidden="1">
      <c r="G641" s="10"/>
    </row>
    <row r="642" hidden="1">
      <c r="G642" s="10"/>
    </row>
    <row r="643" hidden="1">
      <c r="G643" s="10"/>
    </row>
    <row r="644" hidden="1">
      <c r="G644" s="10"/>
    </row>
    <row r="645" hidden="1">
      <c r="G645" s="10"/>
    </row>
    <row r="646" hidden="1">
      <c r="G646" s="10"/>
    </row>
    <row r="647" hidden="1">
      <c r="G647" s="10"/>
    </row>
    <row r="648" hidden="1">
      <c r="G648" s="10"/>
    </row>
    <row r="649" hidden="1">
      <c r="G649" s="10"/>
    </row>
    <row r="650" hidden="1">
      <c r="G650" s="10"/>
    </row>
    <row r="651" hidden="1">
      <c r="G651" s="10"/>
    </row>
    <row r="652" hidden="1">
      <c r="G652" s="10"/>
    </row>
    <row r="653" hidden="1">
      <c r="G653" s="10"/>
    </row>
    <row r="654" hidden="1">
      <c r="G654" s="10"/>
    </row>
    <row r="655" hidden="1">
      <c r="G655" s="10"/>
    </row>
    <row r="656" hidden="1">
      <c r="G656" s="10"/>
    </row>
    <row r="657" hidden="1">
      <c r="G657" s="10"/>
    </row>
    <row r="658" hidden="1">
      <c r="G658" s="10"/>
    </row>
    <row r="659" hidden="1">
      <c r="G659" s="10"/>
    </row>
    <row r="660" hidden="1">
      <c r="G660" s="10"/>
    </row>
    <row r="661" hidden="1">
      <c r="G661" s="10"/>
    </row>
    <row r="662" hidden="1">
      <c r="G662" s="10"/>
    </row>
    <row r="663" hidden="1">
      <c r="G663" s="10"/>
    </row>
    <row r="664" hidden="1">
      <c r="G664" s="10"/>
    </row>
    <row r="665" hidden="1">
      <c r="G665" s="10"/>
    </row>
    <row r="666" hidden="1">
      <c r="G666" s="10"/>
    </row>
    <row r="667" hidden="1">
      <c r="G667" s="10"/>
    </row>
    <row r="668" hidden="1">
      <c r="G668" s="10"/>
    </row>
    <row r="669" hidden="1">
      <c r="G669" s="10"/>
    </row>
    <row r="670" hidden="1">
      <c r="G670" s="10"/>
    </row>
    <row r="671" hidden="1">
      <c r="G671" s="10"/>
    </row>
    <row r="672" hidden="1">
      <c r="G672" s="10"/>
    </row>
    <row r="673" hidden="1">
      <c r="G673" s="10"/>
    </row>
    <row r="674" hidden="1">
      <c r="G674" s="10"/>
    </row>
    <row r="675" hidden="1">
      <c r="G675" s="10"/>
    </row>
    <row r="676" hidden="1">
      <c r="G676" s="10"/>
    </row>
    <row r="677" hidden="1">
      <c r="G677" s="10"/>
    </row>
    <row r="678" hidden="1">
      <c r="G678" s="10"/>
    </row>
    <row r="679" hidden="1">
      <c r="G679" s="10"/>
    </row>
    <row r="680" hidden="1">
      <c r="G680" s="10"/>
    </row>
    <row r="681" hidden="1">
      <c r="G681" s="10"/>
    </row>
    <row r="682" hidden="1">
      <c r="G682" s="10"/>
    </row>
    <row r="683" hidden="1">
      <c r="G683" s="10"/>
    </row>
    <row r="684" hidden="1">
      <c r="G684" s="10"/>
    </row>
    <row r="685" hidden="1">
      <c r="G685" s="10"/>
    </row>
    <row r="686" hidden="1">
      <c r="G686" s="10"/>
    </row>
    <row r="687" hidden="1">
      <c r="G687" s="10"/>
    </row>
    <row r="688" hidden="1">
      <c r="G688" s="10"/>
    </row>
    <row r="689" hidden="1">
      <c r="G689" s="10"/>
    </row>
    <row r="690" hidden="1">
      <c r="G690" s="10"/>
    </row>
    <row r="691" hidden="1">
      <c r="G691" s="10"/>
    </row>
    <row r="692" hidden="1">
      <c r="G692" s="10"/>
    </row>
    <row r="693" hidden="1">
      <c r="G693" s="10"/>
    </row>
    <row r="694" hidden="1">
      <c r="G694" s="10"/>
    </row>
    <row r="695" hidden="1">
      <c r="G695" s="10"/>
    </row>
    <row r="696" hidden="1">
      <c r="G696" s="10"/>
    </row>
    <row r="697" hidden="1">
      <c r="G697" s="10"/>
    </row>
    <row r="698" hidden="1">
      <c r="G698" s="10"/>
    </row>
    <row r="699" hidden="1">
      <c r="G699" s="10"/>
    </row>
    <row r="700" hidden="1">
      <c r="G700" s="10"/>
    </row>
    <row r="701" hidden="1">
      <c r="G701" s="10"/>
    </row>
    <row r="702" hidden="1">
      <c r="G702" s="10"/>
    </row>
    <row r="703" hidden="1">
      <c r="G703" s="10"/>
    </row>
    <row r="704" hidden="1">
      <c r="G704" s="10"/>
    </row>
    <row r="705" hidden="1">
      <c r="G705" s="10"/>
    </row>
    <row r="706" hidden="1">
      <c r="G706" s="10"/>
    </row>
    <row r="707" hidden="1">
      <c r="G707" s="10"/>
    </row>
    <row r="708" hidden="1">
      <c r="G708" s="10"/>
    </row>
    <row r="709" hidden="1">
      <c r="G709" s="10"/>
    </row>
    <row r="710" hidden="1">
      <c r="G710" s="10"/>
    </row>
    <row r="711" hidden="1">
      <c r="G711" s="10"/>
    </row>
    <row r="712" hidden="1">
      <c r="G712" s="10"/>
    </row>
    <row r="713" hidden="1">
      <c r="G713" s="10"/>
    </row>
    <row r="714" hidden="1">
      <c r="G714" s="10"/>
    </row>
    <row r="715" hidden="1">
      <c r="G715" s="10"/>
    </row>
    <row r="716" hidden="1">
      <c r="G716" s="10"/>
    </row>
    <row r="717" hidden="1">
      <c r="G717" s="10"/>
    </row>
    <row r="718" hidden="1">
      <c r="G718" s="10"/>
    </row>
    <row r="719" hidden="1">
      <c r="G719" s="10"/>
    </row>
    <row r="720" hidden="1">
      <c r="G720" s="10"/>
    </row>
    <row r="721" hidden="1">
      <c r="G721" s="10"/>
    </row>
    <row r="722" hidden="1">
      <c r="G722" s="10"/>
    </row>
    <row r="723" hidden="1">
      <c r="G723" s="10"/>
    </row>
    <row r="724" hidden="1">
      <c r="G724" s="10"/>
    </row>
    <row r="725" hidden="1">
      <c r="G725" s="10"/>
    </row>
    <row r="726" hidden="1">
      <c r="G726" s="10"/>
    </row>
    <row r="727" hidden="1">
      <c r="G727" s="10"/>
    </row>
    <row r="728" hidden="1">
      <c r="G728" s="10"/>
    </row>
    <row r="729" hidden="1">
      <c r="G729" s="10"/>
    </row>
    <row r="730" hidden="1">
      <c r="G730" s="10"/>
    </row>
    <row r="731" hidden="1">
      <c r="G731" s="10"/>
    </row>
    <row r="732" hidden="1">
      <c r="G732" s="10"/>
    </row>
    <row r="733" hidden="1">
      <c r="G733" s="10"/>
    </row>
    <row r="734" hidden="1">
      <c r="G734" s="10"/>
    </row>
    <row r="735" hidden="1">
      <c r="G735" s="10"/>
    </row>
    <row r="736" hidden="1">
      <c r="G736" s="10"/>
    </row>
    <row r="737" hidden="1">
      <c r="G737" s="10"/>
    </row>
    <row r="738" hidden="1">
      <c r="G738" s="10"/>
    </row>
    <row r="739" hidden="1">
      <c r="G739" s="10"/>
    </row>
    <row r="740" hidden="1">
      <c r="G740" s="10"/>
    </row>
    <row r="741" hidden="1">
      <c r="G741" s="10"/>
    </row>
    <row r="742" hidden="1">
      <c r="G742" s="10"/>
    </row>
    <row r="743" hidden="1">
      <c r="G743" s="10"/>
    </row>
    <row r="744" hidden="1">
      <c r="G744" s="10"/>
    </row>
    <row r="745" hidden="1">
      <c r="G745" s="10"/>
    </row>
    <row r="746" hidden="1">
      <c r="G746" s="10"/>
    </row>
    <row r="747" hidden="1">
      <c r="G747" s="10"/>
    </row>
    <row r="748" hidden="1">
      <c r="G748" s="10"/>
    </row>
    <row r="749" hidden="1">
      <c r="G749" s="10"/>
    </row>
    <row r="750" hidden="1">
      <c r="G750" s="10"/>
    </row>
    <row r="751" hidden="1">
      <c r="G751" s="10"/>
    </row>
    <row r="752" hidden="1">
      <c r="G752" s="10"/>
    </row>
    <row r="753" hidden="1">
      <c r="G753" s="10"/>
    </row>
    <row r="754" hidden="1">
      <c r="G754" s="10"/>
    </row>
    <row r="755" hidden="1">
      <c r="G755" s="10"/>
    </row>
    <row r="756" hidden="1">
      <c r="G756" s="10"/>
    </row>
    <row r="757" hidden="1">
      <c r="G757" s="10"/>
    </row>
    <row r="758" hidden="1">
      <c r="G758" s="10"/>
    </row>
    <row r="759" hidden="1">
      <c r="G759" s="10"/>
    </row>
    <row r="760" hidden="1">
      <c r="G760" s="10"/>
    </row>
    <row r="761" hidden="1">
      <c r="G761" s="10"/>
    </row>
    <row r="762" hidden="1">
      <c r="G762" s="10"/>
    </row>
    <row r="763" hidden="1">
      <c r="G763" s="10"/>
    </row>
    <row r="764" hidden="1">
      <c r="G764" s="10"/>
    </row>
    <row r="765" hidden="1">
      <c r="G765" s="10"/>
    </row>
    <row r="766" hidden="1">
      <c r="G766" s="10"/>
    </row>
    <row r="767" hidden="1">
      <c r="G767" s="10"/>
    </row>
    <row r="768" hidden="1">
      <c r="G768" s="10"/>
    </row>
    <row r="769" hidden="1">
      <c r="G769" s="10"/>
    </row>
    <row r="770" hidden="1">
      <c r="G770" s="10"/>
    </row>
    <row r="771" hidden="1">
      <c r="G771" s="10"/>
    </row>
    <row r="772" hidden="1">
      <c r="G772" s="10"/>
    </row>
    <row r="773" hidden="1">
      <c r="G773" s="10"/>
    </row>
    <row r="774" hidden="1">
      <c r="G774" s="10"/>
    </row>
    <row r="775" hidden="1">
      <c r="G775" s="10"/>
    </row>
    <row r="776" hidden="1">
      <c r="G776" s="10"/>
    </row>
    <row r="777" hidden="1">
      <c r="G777" s="10"/>
    </row>
    <row r="778" hidden="1">
      <c r="G778" s="10"/>
    </row>
    <row r="779" hidden="1">
      <c r="G779" s="10"/>
    </row>
    <row r="780" hidden="1">
      <c r="G780" s="10"/>
    </row>
    <row r="781" hidden="1">
      <c r="G781" s="10"/>
    </row>
    <row r="782" hidden="1">
      <c r="G782" s="10"/>
    </row>
    <row r="783" hidden="1">
      <c r="G783" s="10"/>
    </row>
    <row r="784" hidden="1">
      <c r="G784" s="10"/>
    </row>
    <row r="785" hidden="1">
      <c r="G785" s="10"/>
    </row>
    <row r="786" hidden="1">
      <c r="G786" s="10"/>
    </row>
    <row r="787" hidden="1">
      <c r="G787" s="10"/>
    </row>
    <row r="788" hidden="1">
      <c r="G788" s="10"/>
    </row>
    <row r="789" hidden="1">
      <c r="G789" s="10"/>
    </row>
    <row r="790" hidden="1">
      <c r="G790" s="10"/>
    </row>
    <row r="791" hidden="1">
      <c r="G791" s="10"/>
    </row>
    <row r="792" hidden="1">
      <c r="G792" s="10"/>
    </row>
    <row r="793" hidden="1">
      <c r="G793" s="10"/>
    </row>
    <row r="794" hidden="1">
      <c r="G794" s="10"/>
    </row>
    <row r="795" hidden="1">
      <c r="G795" s="10"/>
    </row>
    <row r="796" hidden="1">
      <c r="G796" s="10"/>
    </row>
    <row r="797" hidden="1">
      <c r="G797" s="10"/>
    </row>
    <row r="798" hidden="1">
      <c r="G798" s="10"/>
    </row>
    <row r="799" hidden="1">
      <c r="G799" s="10"/>
    </row>
    <row r="800" hidden="1">
      <c r="G800" s="10"/>
    </row>
    <row r="801" hidden="1">
      <c r="G801" s="10"/>
    </row>
    <row r="802" hidden="1">
      <c r="G802" s="10"/>
    </row>
    <row r="803" hidden="1">
      <c r="G803" s="10"/>
    </row>
    <row r="804" hidden="1">
      <c r="G804" s="10"/>
    </row>
    <row r="805" hidden="1">
      <c r="G805" s="10"/>
    </row>
    <row r="806" hidden="1">
      <c r="G806" s="10"/>
    </row>
    <row r="807" hidden="1">
      <c r="G807" s="10"/>
    </row>
    <row r="808" hidden="1">
      <c r="G808" s="10"/>
    </row>
    <row r="809" hidden="1">
      <c r="G809" s="10"/>
    </row>
    <row r="810" hidden="1">
      <c r="G810" s="10"/>
    </row>
    <row r="811" hidden="1">
      <c r="G811" s="10"/>
    </row>
    <row r="812" hidden="1">
      <c r="G812" s="10"/>
    </row>
    <row r="813" hidden="1">
      <c r="G813" s="10"/>
    </row>
    <row r="814" hidden="1">
      <c r="G814" s="10"/>
    </row>
    <row r="815" hidden="1">
      <c r="G815" s="10"/>
    </row>
    <row r="816" hidden="1">
      <c r="G816" s="10"/>
    </row>
    <row r="817" hidden="1">
      <c r="G817" s="10"/>
    </row>
    <row r="818" hidden="1">
      <c r="G818" s="10"/>
    </row>
    <row r="819" hidden="1">
      <c r="G819" s="10"/>
    </row>
    <row r="820" hidden="1">
      <c r="G820" s="10"/>
    </row>
    <row r="821" hidden="1">
      <c r="G821" s="10"/>
    </row>
    <row r="822" hidden="1">
      <c r="G822" s="10"/>
    </row>
    <row r="823" hidden="1">
      <c r="G823" s="10"/>
    </row>
    <row r="824" hidden="1">
      <c r="G824" s="10"/>
    </row>
    <row r="825" hidden="1">
      <c r="G825" s="10"/>
    </row>
    <row r="826" hidden="1">
      <c r="G826" s="10"/>
    </row>
    <row r="827" hidden="1">
      <c r="G827" s="10"/>
    </row>
    <row r="828" hidden="1">
      <c r="G828" s="10"/>
    </row>
    <row r="829" hidden="1">
      <c r="G829" s="10"/>
    </row>
    <row r="830" hidden="1">
      <c r="G830" s="10"/>
    </row>
    <row r="831" hidden="1">
      <c r="G831" s="10"/>
    </row>
    <row r="832" hidden="1">
      <c r="G832" s="10"/>
    </row>
    <row r="833" hidden="1">
      <c r="G833" s="10"/>
    </row>
    <row r="834" hidden="1">
      <c r="G834" s="10"/>
    </row>
    <row r="835" hidden="1">
      <c r="G835" s="10"/>
    </row>
    <row r="836" hidden="1">
      <c r="G836" s="10"/>
    </row>
    <row r="837" hidden="1">
      <c r="G837" s="10"/>
    </row>
    <row r="838" hidden="1">
      <c r="G838" s="10"/>
    </row>
    <row r="839" hidden="1">
      <c r="G839" s="10"/>
    </row>
    <row r="840" hidden="1">
      <c r="G840" s="10"/>
    </row>
    <row r="841" hidden="1">
      <c r="G841" s="10"/>
    </row>
    <row r="842" hidden="1">
      <c r="G842" s="10"/>
    </row>
    <row r="843" hidden="1">
      <c r="G843" s="10"/>
    </row>
    <row r="844" hidden="1">
      <c r="G844" s="10"/>
    </row>
    <row r="845" hidden="1">
      <c r="G845" s="10"/>
    </row>
    <row r="846" hidden="1">
      <c r="G846" s="10"/>
    </row>
    <row r="847" hidden="1">
      <c r="G847" s="10"/>
    </row>
    <row r="848" hidden="1">
      <c r="G848" s="10"/>
    </row>
    <row r="849" hidden="1">
      <c r="G849" s="10"/>
    </row>
    <row r="850" hidden="1">
      <c r="G850" s="10"/>
    </row>
    <row r="851" hidden="1">
      <c r="G851" s="10"/>
    </row>
    <row r="852" hidden="1">
      <c r="G852" s="10"/>
    </row>
    <row r="853" hidden="1">
      <c r="G853" s="10"/>
    </row>
    <row r="854" hidden="1">
      <c r="G854" s="10"/>
    </row>
    <row r="855" hidden="1">
      <c r="G855" s="10"/>
    </row>
    <row r="856" hidden="1">
      <c r="G856" s="10"/>
    </row>
    <row r="857" hidden="1">
      <c r="G857" s="10"/>
    </row>
    <row r="858" hidden="1">
      <c r="G858" s="10"/>
    </row>
    <row r="859" hidden="1">
      <c r="G859" s="10"/>
    </row>
    <row r="860" hidden="1">
      <c r="G860" s="10"/>
    </row>
    <row r="861" hidden="1">
      <c r="G861" s="10"/>
    </row>
    <row r="862" hidden="1">
      <c r="G862" s="10"/>
    </row>
    <row r="863" hidden="1">
      <c r="G863" s="10"/>
    </row>
    <row r="864" hidden="1">
      <c r="G864" s="10"/>
    </row>
    <row r="865" hidden="1">
      <c r="G865" s="10"/>
    </row>
    <row r="866" hidden="1">
      <c r="G866" s="10"/>
    </row>
    <row r="867" hidden="1">
      <c r="G867" s="10"/>
    </row>
    <row r="868" hidden="1">
      <c r="G868" s="10"/>
    </row>
    <row r="869" hidden="1">
      <c r="G869" s="10"/>
    </row>
    <row r="870" hidden="1">
      <c r="G870" s="10"/>
    </row>
    <row r="871" hidden="1">
      <c r="G871" s="10"/>
    </row>
    <row r="872" hidden="1">
      <c r="G872" s="10"/>
    </row>
    <row r="873" hidden="1">
      <c r="G873" s="10"/>
    </row>
    <row r="874" hidden="1">
      <c r="G874" s="10"/>
    </row>
    <row r="875" hidden="1">
      <c r="G875" s="10"/>
    </row>
    <row r="876" hidden="1">
      <c r="G876" s="10"/>
    </row>
    <row r="877" hidden="1">
      <c r="G877" s="10"/>
    </row>
    <row r="878" hidden="1">
      <c r="G878" s="10"/>
    </row>
    <row r="879" hidden="1">
      <c r="G879" s="10"/>
    </row>
    <row r="880" hidden="1">
      <c r="G880" s="10"/>
    </row>
    <row r="881" hidden="1">
      <c r="G881" s="10"/>
    </row>
    <row r="882" hidden="1">
      <c r="G882" s="10"/>
    </row>
    <row r="883" hidden="1">
      <c r="G883" s="10"/>
    </row>
    <row r="884" hidden="1">
      <c r="G884" s="10"/>
    </row>
    <row r="885" hidden="1">
      <c r="G885" s="10"/>
    </row>
    <row r="886" hidden="1">
      <c r="G886" s="10"/>
    </row>
    <row r="887" hidden="1">
      <c r="G887" s="10"/>
    </row>
    <row r="888" hidden="1">
      <c r="G888" s="10"/>
    </row>
    <row r="889" hidden="1">
      <c r="G889" s="10"/>
    </row>
    <row r="890" hidden="1">
      <c r="G890" s="10"/>
    </row>
    <row r="891" hidden="1">
      <c r="G891" s="10"/>
    </row>
    <row r="892" hidden="1">
      <c r="G892" s="10"/>
    </row>
    <row r="893" hidden="1">
      <c r="G893" s="10"/>
    </row>
    <row r="894" hidden="1">
      <c r="G894" s="10"/>
    </row>
    <row r="895" hidden="1">
      <c r="G895" s="10"/>
    </row>
    <row r="896" hidden="1">
      <c r="G896" s="10"/>
    </row>
    <row r="897" hidden="1">
      <c r="G897" s="10"/>
    </row>
    <row r="898" hidden="1">
      <c r="G898" s="10"/>
    </row>
    <row r="899" hidden="1">
      <c r="G899" s="10"/>
    </row>
    <row r="900" hidden="1">
      <c r="G900" s="10"/>
    </row>
    <row r="901" hidden="1">
      <c r="G901" s="10"/>
    </row>
    <row r="902" hidden="1">
      <c r="G902" s="10"/>
    </row>
    <row r="903" hidden="1">
      <c r="G903" s="10"/>
    </row>
    <row r="904" hidden="1">
      <c r="G904" s="10"/>
    </row>
    <row r="905" hidden="1">
      <c r="G905" s="10"/>
    </row>
    <row r="906" hidden="1">
      <c r="G906" s="10"/>
    </row>
    <row r="907" hidden="1">
      <c r="G907" s="10"/>
    </row>
    <row r="908" hidden="1">
      <c r="G908" s="10"/>
    </row>
    <row r="909" hidden="1">
      <c r="G909" s="10"/>
    </row>
    <row r="910" hidden="1">
      <c r="G910" s="10"/>
    </row>
    <row r="911" hidden="1">
      <c r="G911" s="10"/>
    </row>
    <row r="912" hidden="1">
      <c r="G912" s="10"/>
    </row>
    <row r="913" hidden="1">
      <c r="G913" s="10"/>
    </row>
    <row r="914" hidden="1">
      <c r="G914" s="10"/>
    </row>
    <row r="915" hidden="1">
      <c r="G915" s="10"/>
    </row>
    <row r="916" hidden="1">
      <c r="G916" s="10"/>
    </row>
    <row r="917" hidden="1">
      <c r="G917" s="10"/>
    </row>
    <row r="918" hidden="1">
      <c r="G918" s="10"/>
    </row>
    <row r="919" hidden="1">
      <c r="G919" s="10"/>
    </row>
    <row r="920" hidden="1">
      <c r="G920" s="10"/>
    </row>
    <row r="921" hidden="1">
      <c r="G921" s="10"/>
    </row>
    <row r="922" hidden="1">
      <c r="G922" s="10"/>
    </row>
    <row r="923" hidden="1">
      <c r="G923" s="10"/>
    </row>
    <row r="924" hidden="1">
      <c r="G924" s="10"/>
    </row>
    <row r="925" hidden="1">
      <c r="G925" s="10"/>
    </row>
    <row r="926" hidden="1">
      <c r="G926" s="10"/>
    </row>
    <row r="927" hidden="1">
      <c r="G927" s="10"/>
    </row>
    <row r="928" hidden="1">
      <c r="G928" s="10"/>
    </row>
    <row r="929" hidden="1">
      <c r="G929" s="10"/>
    </row>
    <row r="930" hidden="1">
      <c r="G930" s="10"/>
    </row>
    <row r="931" hidden="1">
      <c r="G931" s="10"/>
    </row>
    <row r="932" hidden="1">
      <c r="G932" s="10"/>
    </row>
    <row r="933" hidden="1">
      <c r="G933" s="10"/>
    </row>
    <row r="934" hidden="1">
      <c r="G934" s="10"/>
    </row>
    <row r="935" hidden="1">
      <c r="G935" s="10"/>
    </row>
    <row r="936" hidden="1">
      <c r="G936" s="10"/>
    </row>
    <row r="937" hidden="1">
      <c r="G937" s="10"/>
    </row>
    <row r="938" hidden="1">
      <c r="G938" s="10"/>
    </row>
    <row r="939" hidden="1">
      <c r="G939" s="10"/>
    </row>
    <row r="940" hidden="1">
      <c r="G940" s="10"/>
    </row>
    <row r="941" hidden="1">
      <c r="G941" s="10"/>
    </row>
    <row r="942" hidden="1">
      <c r="G942" s="10"/>
    </row>
    <row r="943" hidden="1">
      <c r="G943" s="10"/>
    </row>
    <row r="944" hidden="1">
      <c r="G944" s="10"/>
    </row>
    <row r="945" hidden="1">
      <c r="G945" s="10"/>
    </row>
    <row r="946" hidden="1">
      <c r="G946" s="10"/>
    </row>
    <row r="947" hidden="1">
      <c r="G947" s="10"/>
    </row>
    <row r="948" hidden="1">
      <c r="G948" s="10"/>
    </row>
    <row r="949" hidden="1">
      <c r="G949" s="10"/>
    </row>
    <row r="950" hidden="1">
      <c r="G950" s="10"/>
    </row>
    <row r="951" hidden="1">
      <c r="G951" s="10"/>
    </row>
    <row r="952" hidden="1">
      <c r="G952" s="10"/>
    </row>
    <row r="953" hidden="1">
      <c r="G953" s="10"/>
    </row>
    <row r="954" hidden="1">
      <c r="G954" s="10"/>
    </row>
    <row r="955" hidden="1">
      <c r="G955" s="10"/>
    </row>
    <row r="956" hidden="1">
      <c r="G956" s="10"/>
    </row>
    <row r="957" hidden="1">
      <c r="G957" s="10"/>
    </row>
    <row r="958" hidden="1">
      <c r="G958" s="10"/>
    </row>
    <row r="959" hidden="1">
      <c r="G959" s="10"/>
    </row>
    <row r="960" hidden="1">
      <c r="G960" s="10"/>
    </row>
    <row r="961" hidden="1">
      <c r="G961" s="10"/>
    </row>
    <row r="962" hidden="1">
      <c r="G962" s="10"/>
    </row>
    <row r="963" hidden="1">
      <c r="G963" s="10"/>
    </row>
    <row r="964" hidden="1">
      <c r="G964" s="10"/>
    </row>
    <row r="965" hidden="1">
      <c r="G965" s="10"/>
    </row>
    <row r="966" hidden="1">
      <c r="G966" s="10"/>
    </row>
    <row r="967" hidden="1">
      <c r="G967" s="10"/>
    </row>
    <row r="968" hidden="1">
      <c r="G968" s="10"/>
    </row>
    <row r="969" hidden="1">
      <c r="G969" s="10"/>
    </row>
    <row r="970" hidden="1">
      <c r="G970" s="10"/>
    </row>
    <row r="971" hidden="1">
      <c r="G971" s="10"/>
    </row>
    <row r="972" hidden="1">
      <c r="G972" s="10"/>
    </row>
    <row r="973" hidden="1">
      <c r="G973" s="10"/>
    </row>
    <row r="974" hidden="1">
      <c r="G974" s="10"/>
    </row>
    <row r="975" hidden="1">
      <c r="G975" s="10"/>
    </row>
    <row r="976" hidden="1">
      <c r="G976" s="10"/>
    </row>
    <row r="977" hidden="1">
      <c r="G977" s="10"/>
    </row>
    <row r="978" hidden="1">
      <c r="G978" s="10"/>
    </row>
    <row r="979" hidden="1">
      <c r="G979" s="10"/>
    </row>
    <row r="980" hidden="1">
      <c r="G980" s="10"/>
    </row>
    <row r="981" hidden="1">
      <c r="G981" s="10"/>
    </row>
  </sheetData>
  <autoFilter ref="$H$1:$H$981">
    <filterColumn colId="0">
      <filters>
        <filter val="22"/>
        <filter val="23"/>
        <filter val="24"/>
        <filter val="25"/>
        <filter val="14"/>
        <filter val="26"/>
        <filter val="27"/>
        <filter val="28"/>
        <filter val="17"/>
        <filter val="29"/>
        <filter val="18"/>
        <filter val="19"/>
        <filter val="30"/>
        <filter val="31"/>
        <filter val="20"/>
        <filter val="21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</cols>
  <sheetData>
    <row r="1">
      <c r="A1" s="1" t="s">
        <v>187</v>
      </c>
      <c r="B1" s="1" t="s">
        <v>188</v>
      </c>
      <c r="C1" s="1" t="s">
        <v>513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514</v>
      </c>
      <c r="I1" s="9" t="s">
        <v>184</v>
      </c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>
        <v>9.0</v>
      </c>
      <c r="B2" s="3" t="s">
        <v>73</v>
      </c>
      <c r="C2" s="3" t="s">
        <v>515</v>
      </c>
      <c r="D2" s="4">
        <f>+22.85</f>
        <v>22.85</v>
      </c>
      <c r="E2" s="3">
        <v>114.6</v>
      </c>
      <c r="F2" s="3">
        <v>91.8</v>
      </c>
      <c r="G2" s="4">
        <f t="shared" ref="G2:G364" si="1">E2^10/(E2^10+F2^10)</f>
        <v>0.9018857353</v>
      </c>
      <c r="H2" s="4">
        <f t="shared" ref="H2:H364" si="2">(0.7816202012-0.7816202012*G2)/(0.7816202012+G2-2*0.7816202012*G2)</f>
        <v>0.2802500008</v>
      </c>
      <c r="I2" s="11">
        <v>11.1454087544</v>
      </c>
    </row>
    <row r="3">
      <c r="A3" s="3">
        <v>4.0</v>
      </c>
      <c r="B3" s="3" t="s">
        <v>30</v>
      </c>
      <c r="C3" s="3" t="s">
        <v>515</v>
      </c>
      <c r="D3" s="4">
        <f>+27.28</f>
        <v>27.28</v>
      </c>
      <c r="E3" s="3">
        <v>115.5</v>
      </c>
      <c r="F3" s="3">
        <v>88.2</v>
      </c>
      <c r="G3" s="4">
        <f t="shared" si="1"/>
        <v>0.9368278304</v>
      </c>
      <c r="H3" s="4">
        <f t="shared" si="2"/>
        <v>0.1944261523</v>
      </c>
      <c r="I3" s="11">
        <v>11.0373666171999</v>
      </c>
    </row>
    <row r="4">
      <c r="A4" s="3">
        <v>7.0</v>
      </c>
      <c r="B4" s="3" t="s">
        <v>49</v>
      </c>
      <c r="C4" s="3" t="s">
        <v>515</v>
      </c>
      <c r="D4" s="4">
        <f>+23.24</f>
        <v>23.24</v>
      </c>
      <c r="E4" s="3">
        <v>117.7</v>
      </c>
      <c r="F4" s="3">
        <v>94.5</v>
      </c>
      <c r="G4" s="4">
        <f t="shared" si="1"/>
        <v>0.8998349289</v>
      </c>
      <c r="H4" s="4">
        <f t="shared" si="2"/>
        <v>0.2849052068</v>
      </c>
      <c r="I4" s="11">
        <v>10.4675363049999</v>
      </c>
    </row>
    <row r="5">
      <c r="A5" s="3">
        <v>3.0</v>
      </c>
      <c r="B5" s="3" t="s">
        <v>45</v>
      </c>
      <c r="C5" s="3" t="s">
        <v>515</v>
      </c>
      <c r="D5" s="4">
        <f>+27.29</f>
        <v>27.29</v>
      </c>
      <c r="E5" s="3">
        <v>115.2</v>
      </c>
      <c r="F5" s="3">
        <v>88.0</v>
      </c>
      <c r="G5" s="4">
        <f t="shared" si="1"/>
        <v>0.936631874</v>
      </c>
      <c r="H5" s="4">
        <f t="shared" si="2"/>
        <v>0.1949445285</v>
      </c>
      <c r="I5" s="11">
        <v>9.3720506222</v>
      </c>
    </row>
    <row r="6">
      <c r="A6" s="3">
        <v>10.0</v>
      </c>
      <c r="B6" s="3" t="s">
        <v>41</v>
      </c>
      <c r="C6" s="3" t="s">
        <v>515</v>
      </c>
      <c r="D6" s="4">
        <f>+22.38</f>
        <v>22.38</v>
      </c>
      <c r="E6" s="3">
        <v>119.1</v>
      </c>
      <c r="F6" s="3">
        <v>96.7</v>
      </c>
      <c r="G6" s="4">
        <f t="shared" si="1"/>
        <v>0.8892891649</v>
      </c>
      <c r="H6" s="4">
        <f t="shared" si="2"/>
        <v>0.3082384729</v>
      </c>
      <c r="I6" s="11">
        <v>9.0555468223</v>
      </c>
    </row>
    <row r="7">
      <c r="A7" s="3">
        <v>2.0</v>
      </c>
      <c r="B7" s="3" t="s">
        <v>59</v>
      </c>
      <c r="C7" s="3" t="s">
        <v>515</v>
      </c>
      <c r="D7" s="4">
        <f>+27.72</f>
        <v>27.72</v>
      </c>
      <c r="E7" s="3">
        <v>118.1</v>
      </c>
      <c r="F7" s="3">
        <v>90.4</v>
      </c>
      <c r="G7" s="4">
        <f t="shared" si="1"/>
        <v>0.935406932</v>
      </c>
      <c r="H7" s="4">
        <f t="shared" si="2"/>
        <v>0.1981747689</v>
      </c>
      <c r="I7" s="11">
        <v>9.0396904873</v>
      </c>
    </row>
    <row r="8">
      <c r="A8" s="3">
        <v>5.0</v>
      </c>
      <c r="B8" s="3" t="s">
        <v>47</v>
      </c>
      <c r="C8" s="3" t="s">
        <v>515</v>
      </c>
      <c r="D8" s="4">
        <f>+24.43</f>
        <v>24.43</v>
      </c>
      <c r="E8" s="3">
        <v>116.5</v>
      </c>
      <c r="F8" s="3">
        <v>92.1</v>
      </c>
      <c r="G8" s="4">
        <f t="shared" si="1"/>
        <v>0.9129472064</v>
      </c>
      <c r="H8" s="4">
        <f t="shared" si="2"/>
        <v>0.2544476768</v>
      </c>
      <c r="I8" s="11">
        <v>8.9853682399</v>
      </c>
    </row>
    <row r="9">
      <c r="A9" s="3">
        <v>8.0</v>
      </c>
      <c r="B9" s="3" t="s">
        <v>22</v>
      </c>
      <c r="C9" s="3" t="s">
        <v>515</v>
      </c>
      <c r="D9" s="4">
        <f>+23.02</f>
        <v>23.02</v>
      </c>
      <c r="E9" s="3">
        <v>122.3</v>
      </c>
      <c r="F9" s="3">
        <v>99.3</v>
      </c>
      <c r="G9" s="4">
        <f t="shared" si="1"/>
        <v>0.8892708489</v>
      </c>
      <c r="H9" s="4">
        <f t="shared" si="2"/>
        <v>0.3082781395</v>
      </c>
      <c r="I9" s="12">
        <f>1-H364+7.91968345479999</f>
        <v>7.934488402</v>
      </c>
    </row>
    <row r="10">
      <c r="A10" s="3">
        <v>11.0</v>
      </c>
      <c r="B10" s="3" t="s">
        <v>55</v>
      </c>
      <c r="C10" s="3" t="s">
        <v>515</v>
      </c>
      <c r="D10" s="4">
        <f>+21.9</f>
        <v>21.9</v>
      </c>
      <c r="E10" s="3">
        <v>118.2</v>
      </c>
      <c r="F10" s="3">
        <v>96.3</v>
      </c>
      <c r="G10" s="4">
        <f t="shared" si="1"/>
        <v>0.8858564309</v>
      </c>
      <c r="H10" s="4">
        <f t="shared" si="2"/>
        <v>0.3156220957</v>
      </c>
      <c r="I10" s="11">
        <v>8.7308792213</v>
      </c>
    </row>
    <row r="11">
      <c r="A11" s="3">
        <v>14.0</v>
      </c>
      <c r="B11" s="3" t="s">
        <v>75</v>
      </c>
      <c r="C11" s="3" t="s">
        <v>515</v>
      </c>
      <c r="D11" s="4">
        <f>+20.34</f>
        <v>20.34</v>
      </c>
      <c r="E11" s="3">
        <v>110.8</v>
      </c>
      <c r="F11" s="3">
        <v>90.4</v>
      </c>
      <c r="G11" s="4">
        <f t="shared" si="1"/>
        <v>0.8844052729</v>
      </c>
      <c r="H11" s="4">
        <f t="shared" si="2"/>
        <v>0.3187131692</v>
      </c>
      <c r="I11" s="12">
        <f>1-H360+7.0201719821</f>
        <v>7.053812105</v>
      </c>
    </row>
    <row r="12">
      <c r="A12" s="3">
        <v>15.0</v>
      </c>
      <c r="B12" s="3" t="s">
        <v>114</v>
      </c>
      <c r="C12" s="3" t="s">
        <v>515</v>
      </c>
      <c r="D12" s="4">
        <f>+19.95</f>
        <v>19.95</v>
      </c>
      <c r="E12" s="3">
        <v>118.5</v>
      </c>
      <c r="F12" s="3">
        <v>98.6</v>
      </c>
      <c r="G12" s="4">
        <f t="shared" si="1"/>
        <v>0.86276138</v>
      </c>
      <c r="H12" s="4">
        <f t="shared" si="2"/>
        <v>0.3627879959</v>
      </c>
      <c r="I12" s="11">
        <v>6.68568738779999</v>
      </c>
    </row>
    <row r="13">
      <c r="A13" s="3">
        <v>16.0</v>
      </c>
      <c r="B13" s="3" t="s">
        <v>38</v>
      </c>
      <c r="C13" s="3" t="s">
        <v>515</v>
      </c>
      <c r="D13" s="4">
        <f>+19.68</f>
        <v>19.68</v>
      </c>
      <c r="E13" s="3">
        <v>121.3</v>
      </c>
      <c r="F13" s="3">
        <v>101.6</v>
      </c>
      <c r="G13" s="4">
        <f t="shared" si="1"/>
        <v>0.8547351228</v>
      </c>
      <c r="H13" s="4">
        <f t="shared" si="2"/>
        <v>0.3782225141</v>
      </c>
      <c r="I13" s="11">
        <v>6.3674020598</v>
      </c>
    </row>
    <row r="14">
      <c r="A14" s="3">
        <v>1.0</v>
      </c>
      <c r="B14" s="3" t="s">
        <v>516</v>
      </c>
      <c r="C14" s="3" t="s">
        <v>515</v>
      </c>
      <c r="D14" s="4">
        <f>+29.86</f>
        <v>29.86</v>
      </c>
      <c r="E14" s="3">
        <v>120.8</v>
      </c>
      <c r="F14" s="3">
        <v>90.9</v>
      </c>
      <c r="G14" s="4">
        <f t="shared" si="1"/>
        <v>0.9449953793</v>
      </c>
      <c r="H14" s="4">
        <f t="shared" si="2"/>
        <v>0.1724118351</v>
      </c>
      <c r="I14" s="11">
        <v>6.33233545319999</v>
      </c>
    </row>
    <row r="15">
      <c r="A15" s="3">
        <v>13.0</v>
      </c>
      <c r="B15" s="3" t="s">
        <v>517</v>
      </c>
      <c r="C15" s="3" t="s">
        <v>515</v>
      </c>
      <c r="D15" s="4">
        <f>+21.24</f>
        <v>21.24</v>
      </c>
      <c r="E15" s="3">
        <v>112.6</v>
      </c>
      <c r="F15" s="3">
        <v>91.4</v>
      </c>
      <c r="G15" s="4">
        <f t="shared" si="1"/>
        <v>0.8895312902</v>
      </c>
      <c r="H15" s="4">
        <f t="shared" si="2"/>
        <v>0.3077138329</v>
      </c>
      <c r="I15" s="11">
        <f>1-H365 + 5.2713432059</f>
        <v>6.271343206</v>
      </c>
    </row>
    <row r="16">
      <c r="A16" s="3">
        <v>17.0</v>
      </c>
      <c r="B16" s="3" t="s">
        <v>518</v>
      </c>
      <c r="C16" s="3" t="s">
        <v>515</v>
      </c>
      <c r="D16" s="4">
        <f>+19.38</f>
        <v>19.38</v>
      </c>
      <c r="E16" s="3">
        <v>115.1</v>
      </c>
      <c r="F16" s="3">
        <v>95.7</v>
      </c>
      <c r="G16" s="4">
        <f t="shared" si="1"/>
        <v>0.8636367737</v>
      </c>
      <c r="H16" s="4">
        <f t="shared" si="2"/>
        <v>0.3610760183</v>
      </c>
      <c r="I16" s="12">
        <f>1-H362+5.8917035037</f>
        <v>5.9128001</v>
      </c>
    </row>
    <row r="17">
      <c r="A17" s="3">
        <v>21.0</v>
      </c>
      <c r="B17" s="3" t="s">
        <v>109</v>
      </c>
      <c r="C17" s="3" t="s">
        <v>515</v>
      </c>
      <c r="D17" s="4">
        <f>+18.51</f>
        <v>18.51</v>
      </c>
      <c r="E17" s="3">
        <v>113.5</v>
      </c>
      <c r="F17" s="3">
        <v>95.0</v>
      </c>
      <c r="G17" s="4">
        <f t="shared" si="1"/>
        <v>0.8556053993</v>
      </c>
      <c r="H17" s="4">
        <f t="shared" si="2"/>
        <v>0.3765714758</v>
      </c>
      <c r="I17" s="11">
        <v>5.665403808</v>
      </c>
    </row>
    <row r="18">
      <c r="A18" s="3">
        <v>20.0</v>
      </c>
      <c r="B18" s="3" t="s">
        <v>25</v>
      </c>
      <c r="C18" s="3" t="s">
        <v>515</v>
      </c>
      <c r="D18" s="4">
        <f>+18.53</f>
        <v>18.53</v>
      </c>
      <c r="E18" s="3">
        <v>114.6</v>
      </c>
      <c r="F18" s="3">
        <v>96.1</v>
      </c>
      <c r="G18" s="4">
        <f t="shared" si="1"/>
        <v>0.8532828975</v>
      </c>
      <c r="H18" s="4">
        <f t="shared" si="2"/>
        <v>0.3809656194</v>
      </c>
      <c r="I18" s="11">
        <v>5.4810370996</v>
      </c>
    </row>
    <row r="19">
      <c r="A19" s="3">
        <v>18.0</v>
      </c>
      <c r="B19" s="3" t="s">
        <v>36</v>
      </c>
      <c r="C19" s="3" t="s">
        <v>515</v>
      </c>
      <c r="D19" s="4">
        <f>+19.35</f>
        <v>19.35</v>
      </c>
      <c r="E19" s="3">
        <v>113.2</v>
      </c>
      <c r="F19" s="3">
        <v>93.9</v>
      </c>
      <c r="G19" s="4">
        <f t="shared" si="1"/>
        <v>0.8663723749</v>
      </c>
      <c r="H19" s="4">
        <f t="shared" si="2"/>
        <v>0.3556890419</v>
      </c>
      <c r="I19" s="11">
        <v>5.463717309</v>
      </c>
    </row>
    <row r="20">
      <c r="A20" s="3">
        <v>24.0</v>
      </c>
      <c r="B20" s="3" t="s">
        <v>86</v>
      </c>
      <c r="C20" s="3" t="s">
        <v>515</v>
      </c>
      <c r="D20" s="4">
        <f>+17.94</f>
        <v>17.94</v>
      </c>
      <c r="E20" s="3">
        <v>119.1</v>
      </c>
      <c r="F20" s="3">
        <v>101.2</v>
      </c>
      <c r="G20" s="4">
        <f t="shared" si="1"/>
        <v>0.8359842338</v>
      </c>
      <c r="H20" s="4">
        <f t="shared" si="2"/>
        <v>0.4125305473</v>
      </c>
      <c r="I20" s="11">
        <v>5.0059295331</v>
      </c>
    </row>
    <row r="21">
      <c r="A21" s="3">
        <v>28.0</v>
      </c>
      <c r="B21" s="3" t="s">
        <v>103</v>
      </c>
      <c r="C21" s="3" t="s">
        <v>515</v>
      </c>
      <c r="D21" s="4">
        <f>+17.39</f>
        <v>17.39</v>
      </c>
      <c r="E21" s="3">
        <v>116.3</v>
      </c>
      <c r="F21" s="3">
        <v>98.9</v>
      </c>
      <c r="G21" s="4">
        <f t="shared" si="1"/>
        <v>0.8348831278</v>
      </c>
      <c r="H21" s="4">
        <f t="shared" si="2"/>
        <v>0.4144728682</v>
      </c>
      <c r="I21" s="12">
        <f>1-H356+4.7473302062</f>
        <v>4.784667342</v>
      </c>
    </row>
    <row r="22">
      <c r="A22" s="3">
        <v>57.0</v>
      </c>
      <c r="B22" s="3" t="s">
        <v>102</v>
      </c>
      <c r="C22" s="3" t="s">
        <v>515</v>
      </c>
      <c r="D22" s="4">
        <f>+13.07</f>
        <v>13.07</v>
      </c>
      <c r="E22" s="3">
        <v>118.3</v>
      </c>
      <c r="F22" s="3">
        <v>105.3</v>
      </c>
      <c r="G22" s="4">
        <f t="shared" si="1"/>
        <v>0.7620775457</v>
      </c>
      <c r="H22" s="4">
        <f t="shared" si="2"/>
        <v>0.5277289411</v>
      </c>
      <c r="I22" s="11">
        <v>4.7185385033</v>
      </c>
    </row>
    <row r="23">
      <c r="A23" s="3">
        <v>33.0</v>
      </c>
      <c r="B23" s="3" t="s">
        <v>116</v>
      </c>
      <c r="C23" s="3" t="s">
        <v>515</v>
      </c>
      <c r="D23" s="4">
        <f>+16.71</f>
        <v>16.71</v>
      </c>
      <c r="E23" s="3">
        <v>113.7</v>
      </c>
      <c r="F23" s="3">
        <v>97.0</v>
      </c>
      <c r="G23" s="4">
        <f t="shared" si="1"/>
        <v>0.8304083702</v>
      </c>
      <c r="H23" s="4">
        <f t="shared" si="2"/>
        <v>0.422287246</v>
      </c>
      <c r="I23" s="11">
        <v>4.6809006505</v>
      </c>
    </row>
    <row r="24">
      <c r="A24" s="3">
        <v>30.0</v>
      </c>
      <c r="B24" s="3" t="s">
        <v>44</v>
      </c>
      <c r="C24" s="3" t="s">
        <v>515</v>
      </c>
      <c r="D24" s="4">
        <f>+17.03</f>
        <v>17.03</v>
      </c>
      <c r="E24" s="3">
        <v>114.2</v>
      </c>
      <c r="F24" s="3">
        <v>97.2</v>
      </c>
      <c r="G24" s="4">
        <f t="shared" si="1"/>
        <v>0.8336619551</v>
      </c>
      <c r="H24" s="4">
        <f t="shared" si="2"/>
        <v>0.4166179548</v>
      </c>
      <c r="I24" s="11">
        <v>4.43758654379999</v>
      </c>
    </row>
    <row r="25">
      <c r="A25" s="3">
        <v>34.0</v>
      </c>
      <c r="B25" s="3" t="s">
        <v>98</v>
      </c>
      <c r="C25" s="3" t="s">
        <v>515</v>
      </c>
      <c r="D25" s="4">
        <f>+16.37</f>
        <v>16.37</v>
      </c>
      <c r="E25" s="3">
        <v>110.8</v>
      </c>
      <c r="F25" s="3">
        <v>94.5</v>
      </c>
      <c r="G25" s="4">
        <f t="shared" si="1"/>
        <v>0.8307946235</v>
      </c>
      <c r="H25" s="4">
        <f t="shared" si="2"/>
        <v>0.4216176743</v>
      </c>
      <c r="I25" s="11">
        <v>4.1913240728</v>
      </c>
    </row>
    <row r="26">
      <c r="A26" s="3">
        <v>6.0</v>
      </c>
      <c r="B26" s="3" t="s">
        <v>66</v>
      </c>
      <c r="C26" s="3" t="s">
        <v>515</v>
      </c>
      <c r="D26" s="4">
        <f>+23.8</f>
        <v>23.8</v>
      </c>
      <c r="E26" s="3">
        <v>111.3</v>
      </c>
      <c r="F26" s="3">
        <v>87.5</v>
      </c>
      <c r="G26" s="4">
        <f t="shared" si="1"/>
        <v>0.9172764558</v>
      </c>
      <c r="H26" s="4">
        <f t="shared" si="2"/>
        <v>0.2440187614</v>
      </c>
      <c r="I26" s="11">
        <v>3.9117886588</v>
      </c>
    </row>
    <row r="27">
      <c r="A27" s="3">
        <v>12.0</v>
      </c>
      <c r="B27" s="3" t="s">
        <v>76</v>
      </c>
      <c r="C27" s="3" t="s">
        <v>515</v>
      </c>
      <c r="D27" s="4">
        <f>+21.83</f>
        <v>21.83</v>
      </c>
      <c r="E27" s="3">
        <v>115.0</v>
      </c>
      <c r="F27" s="3">
        <v>93.2</v>
      </c>
      <c r="G27" s="4">
        <f t="shared" si="1"/>
        <v>0.8910822832</v>
      </c>
      <c r="H27" s="4">
        <f t="shared" si="2"/>
        <v>0.3043409896</v>
      </c>
      <c r="I27" s="11">
        <v>3.3654527697</v>
      </c>
    </row>
    <row r="28">
      <c r="A28" s="3">
        <v>26.0</v>
      </c>
      <c r="B28" s="3" t="s">
        <v>34</v>
      </c>
      <c r="C28" s="3" t="s">
        <v>515</v>
      </c>
      <c r="D28" s="4">
        <f>+17.61</f>
        <v>17.61</v>
      </c>
      <c r="E28" s="3">
        <v>114.2</v>
      </c>
      <c r="F28" s="3">
        <v>96.6</v>
      </c>
      <c r="G28" s="4">
        <f t="shared" si="1"/>
        <v>0.8420719031</v>
      </c>
      <c r="H28" s="4">
        <f t="shared" si="2"/>
        <v>0.4016505882</v>
      </c>
      <c r="I28" s="11">
        <v>3.35502690709999</v>
      </c>
    </row>
    <row r="29">
      <c r="A29" s="3">
        <v>71.0</v>
      </c>
      <c r="B29" s="3" t="s">
        <v>519</v>
      </c>
      <c r="C29" s="3" t="s">
        <v>515</v>
      </c>
      <c r="D29" s="4">
        <f>+11.85</f>
        <v>11.85</v>
      </c>
      <c r="E29" s="3">
        <v>110.6</v>
      </c>
      <c r="F29" s="3">
        <v>98.7</v>
      </c>
      <c r="G29" s="4">
        <f t="shared" si="1"/>
        <v>0.7573768304</v>
      </c>
      <c r="H29" s="4">
        <f t="shared" si="2"/>
        <v>0.5341422294</v>
      </c>
      <c r="I29" s="12">
        <f>1-H321+3.2022381561</f>
        <v>3.278042329</v>
      </c>
    </row>
    <row r="30">
      <c r="A30" s="3">
        <v>45.0</v>
      </c>
      <c r="B30" s="3" t="s">
        <v>520</v>
      </c>
      <c r="C30" s="3" t="s">
        <v>515</v>
      </c>
      <c r="D30" s="4">
        <f>+14.85</f>
        <v>14.85</v>
      </c>
      <c r="E30" s="3">
        <v>112.3</v>
      </c>
      <c r="F30" s="3">
        <v>97.5</v>
      </c>
      <c r="G30" s="4">
        <f t="shared" si="1"/>
        <v>0.8042725128</v>
      </c>
      <c r="H30" s="4">
        <f t="shared" si="2"/>
        <v>0.4655343358</v>
      </c>
      <c r="I30" s="11">
        <v>3.25209168109999</v>
      </c>
    </row>
    <row r="31">
      <c r="A31" s="3">
        <v>25.0</v>
      </c>
      <c r="B31" s="3" t="s">
        <v>58</v>
      </c>
      <c r="C31" s="3" t="s">
        <v>515</v>
      </c>
      <c r="D31" s="4">
        <f>+17.78</f>
        <v>17.78</v>
      </c>
      <c r="E31" s="3">
        <v>112.1</v>
      </c>
      <c r="F31" s="3">
        <v>94.3</v>
      </c>
      <c r="G31" s="4">
        <f t="shared" si="1"/>
        <v>0.8492974439</v>
      </c>
      <c r="H31" s="4">
        <f t="shared" si="2"/>
        <v>0.3884177059</v>
      </c>
      <c r="I31" s="11">
        <v>3.24997478069999</v>
      </c>
    </row>
    <row r="32">
      <c r="A32" s="3">
        <v>31.0</v>
      </c>
      <c r="B32" s="3" t="s">
        <v>258</v>
      </c>
      <c r="D32" s="4">
        <f>+16.89</f>
        <v>16.89</v>
      </c>
      <c r="E32" s="3">
        <v>111.0</v>
      </c>
      <c r="F32" s="3">
        <v>94.1</v>
      </c>
      <c r="G32" s="4">
        <f t="shared" si="1"/>
        <v>0.8391235867</v>
      </c>
      <c r="H32" s="4">
        <f t="shared" si="2"/>
        <v>0.4069500098</v>
      </c>
    </row>
    <row r="33">
      <c r="A33" s="3">
        <v>29.0</v>
      </c>
      <c r="B33" s="3" t="s">
        <v>82</v>
      </c>
      <c r="C33" s="3" t="s">
        <v>515</v>
      </c>
      <c r="D33" s="4">
        <f>+17.04</f>
        <v>17.04</v>
      </c>
      <c r="E33" s="3">
        <v>108.1</v>
      </c>
      <c r="F33" s="3">
        <v>91.0</v>
      </c>
      <c r="G33" s="4">
        <f t="shared" si="1"/>
        <v>0.8483826914</v>
      </c>
      <c r="H33" s="4">
        <f t="shared" si="2"/>
        <v>0.3901125896</v>
      </c>
      <c r="I33" s="11">
        <v>3.18337517379999</v>
      </c>
    </row>
    <row r="34">
      <c r="A34" s="3">
        <v>37.0</v>
      </c>
      <c r="B34" s="3" t="s">
        <v>24</v>
      </c>
      <c r="C34" s="3" t="s">
        <v>515</v>
      </c>
      <c r="D34" s="4">
        <f>+15.85</f>
        <v>15.85</v>
      </c>
      <c r="E34" s="3">
        <v>110.9</v>
      </c>
      <c r="F34" s="3">
        <v>95.1</v>
      </c>
      <c r="G34" s="4">
        <f t="shared" si="1"/>
        <v>0.8230280807</v>
      </c>
      <c r="H34" s="4">
        <f t="shared" si="2"/>
        <v>0.4349050485</v>
      </c>
      <c r="I34" s="11">
        <f>1-H360+3.0657421603</f>
        <v>3.099382283</v>
      </c>
    </row>
    <row r="35">
      <c r="A35" s="3">
        <v>38.0</v>
      </c>
      <c r="B35" s="3" t="s">
        <v>123</v>
      </c>
      <c r="C35" s="3" t="s">
        <v>515</v>
      </c>
      <c r="D35" s="4">
        <f>+15.59</f>
        <v>15.59</v>
      </c>
      <c r="E35" s="3">
        <v>109.9</v>
      </c>
      <c r="F35" s="3">
        <v>94.3</v>
      </c>
      <c r="G35" s="4">
        <f t="shared" si="1"/>
        <v>0.8221374768</v>
      </c>
      <c r="H35" s="4">
        <f t="shared" si="2"/>
        <v>0.4364054138</v>
      </c>
      <c r="I35" s="11">
        <v>2.9626448122</v>
      </c>
    </row>
    <row r="36">
      <c r="A36" s="3">
        <v>27.0</v>
      </c>
      <c r="B36" s="3" t="s">
        <v>53</v>
      </c>
      <c r="C36" s="3" t="s">
        <v>515</v>
      </c>
      <c r="D36" s="4">
        <f>+17.4</f>
        <v>17.4</v>
      </c>
      <c r="E36" s="3">
        <v>116.2</v>
      </c>
      <c r="F36" s="3">
        <v>98.8</v>
      </c>
      <c r="G36" s="4">
        <f t="shared" si="1"/>
        <v>0.8350917577</v>
      </c>
      <c r="H36" s="4">
        <f t="shared" si="2"/>
        <v>0.414105445</v>
      </c>
      <c r="I36" s="11">
        <v>2.8098174227</v>
      </c>
    </row>
    <row r="37">
      <c r="A37" s="3">
        <v>36.0</v>
      </c>
      <c r="B37" s="3" t="s">
        <v>117</v>
      </c>
      <c r="C37" s="3" t="s">
        <v>515</v>
      </c>
      <c r="D37" s="4">
        <f>+16.04</f>
        <v>16.04</v>
      </c>
      <c r="E37" s="3">
        <v>117.2</v>
      </c>
      <c r="F37" s="3">
        <v>101.1</v>
      </c>
      <c r="G37" s="4">
        <f t="shared" si="1"/>
        <v>0.8142275767</v>
      </c>
      <c r="H37" s="4">
        <f t="shared" si="2"/>
        <v>0.4495264263</v>
      </c>
      <c r="I37" s="11">
        <v>2.7143525614</v>
      </c>
    </row>
    <row r="38">
      <c r="A38" s="3">
        <v>19.0</v>
      </c>
      <c r="B38" s="3" t="s">
        <v>96</v>
      </c>
      <c r="C38" s="3" t="s">
        <v>515</v>
      </c>
      <c r="D38" s="4">
        <f>+18.82</f>
        <v>18.82</v>
      </c>
      <c r="E38" s="3">
        <v>116.9</v>
      </c>
      <c r="F38" s="3">
        <v>98.1</v>
      </c>
      <c r="G38" s="4">
        <f t="shared" si="1"/>
        <v>0.8523704351</v>
      </c>
      <c r="H38" s="4">
        <f t="shared" si="2"/>
        <v>0.3826815547</v>
      </c>
      <c r="I38" s="11">
        <v>2.6771061022</v>
      </c>
    </row>
    <row r="39">
      <c r="A39" s="3">
        <v>72.0</v>
      </c>
      <c r="B39" s="3" t="s">
        <v>107</v>
      </c>
      <c r="C39" s="3" t="s">
        <v>515</v>
      </c>
      <c r="D39" s="4">
        <f>+11.65</f>
        <v>11.65</v>
      </c>
      <c r="E39" s="3">
        <v>113.9</v>
      </c>
      <c r="F39" s="3">
        <v>102.2</v>
      </c>
      <c r="G39" s="4">
        <f t="shared" si="1"/>
        <v>0.7472297875</v>
      </c>
      <c r="H39" s="4">
        <f t="shared" si="2"/>
        <v>0.5476651352</v>
      </c>
      <c r="I39" s="12">
        <f>4*(1-H330)+2.347254608</f>
        <v>2.60335134</v>
      </c>
    </row>
    <row r="40">
      <c r="A40" s="3">
        <v>39.0</v>
      </c>
      <c r="B40" s="3" t="s">
        <v>275</v>
      </c>
      <c r="D40" s="4">
        <f>+15.53</f>
        <v>15.53</v>
      </c>
      <c r="E40" s="3">
        <v>106.3</v>
      </c>
      <c r="F40" s="3">
        <v>90.8</v>
      </c>
      <c r="G40" s="4">
        <f t="shared" si="1"/>
        <v>0.8286457936</v>
      </c>
      <c r="H40" s="4">
        <f t="shared" si="2"/>
        <v>0.4253309363</v>
      </c>
    </row>
    <row r="41">
      <c r="A41" s="3">
        <v>60.0</v>
      </c>
      <c r="B41" s="3" t="s">
        <v>521</v>
      </c>
      <c r="C41" s="3" t="s">
        <v>515</v>
      </c>
      <c r="D41" s="4">
        <f>+12.84</f>
        <v>12.84</v>
      </c>
      <c r="E41" s="3">
        <v>106.6</v>
      </c>
      <c r="F41" s="3">
        <v>93.8</v>
      </c>
      <c r="G41" s="4">
        <f t="shared" si="1"/>
        <v>0.7823112786</v>
      </c>
      <c r="H41" s="4">
        <f t="shared" si="2"/>
        <v>0.4989866629</v>
      </c>
      <c r="I41" s="11">
        <v>2.23890389</v>
      </c>
    </row>
    <row r="42">
      <c r="A42" s="3">
        <v>40.0</v>
      </c>
      <c r="B42" s="3" t="s">
        <v>79</v>
      </c>
      <c r="C42" s="3" t="s">
        <v>515</v>
      </c>
      <c r="D42" s="4">
        <f>+15.39</f>
        <v>15.39</v>
      </c>
      <c r="E42" s="3">
        <v>116.2</v>
      </c>
      <c r="F42" s="3">
        <v>100.8</v>
      </c>
      <c r="G42" s="4">
        <f t="shared" si="1"/>
        <v>0.805611814</v>
      </c>
      <c r="H42" s="4">
        <f t="shared" si="2"/>
        <v>0.4634125925</v>
      </c>
      <c r="I42" s="11">
        <v>2.17729359489999</v>
      </c>
    </row>
    <row r="43">
      <c r="A43" s="3">
        <v>42.0</v>
      </c>
      <c r="B43" s="3" t="s">
        <v>149</v>
      </c>
      <c r="D43" s="4">
        <f>+15.13</f>
        <v>15.13</v>
      </c>
      <c r="E43" s="3">
        <v>112.9</v>
      </c>
      <c r="F43" s="3">
        <v>97.8</v>
      </c>
      <c r="G43" s="4">
        <f t="shared" si="1"/>
        <v>0.8078001451</v>
      </c>
      <c r="H43" s="4">
        <f t="shared" si="2"/>
        <v>0.4599247139</v>
      </c>
    </row>
    <row r="44">
      <c r="A44" s="3">
        <v>43.0</v>
      </c>
      <c r="B44" s="3" t="s">
        <v>40</v>
      </c>
      <c r="D44" s="4">
        <f>+15.01</f>
        <v>15.01</v>
      </c>
      <c r="E44" s="3">
        <v>112.2</v>
      </c>
      <c r="F44" s="3">
        <v>97.2</v>
      </c>
      <c r="G44" s="4">
        <f t="shared" si="1"/>
        <v>0.8076982552</v>
      </c>
      <c r="H44" s="4">
        <f t="shared" si="2"/>
        <v>0.4600876956</v>
      </c>
    </row>
    <row r="45">
      <c r="A45" s="3">
        <v>44.0</v>
      </c>
      <c r="B45" s="3" t="s">
        <v>65</v>
      </c>
      <c r="D45" s="4">
        <f>+14.96</f>
        <v>14.96</v>
      </c>
      <c r="E45" s="3">
        <v>112.3</v>
      </c>
      <c r="F45" s="3">
        <v>97.4</v>
      </c>
      <c r="G45" s="4">
        <f t="shared" si="1"/>
        <v>0.8058828452</v>
      </c>
      <c r="H45" s="4">
        <f t="shared" si="2"/>
        <v>0.4629820321</v>
      </c>
    </row>
    <row r="46">
      <c r="A46" s="3">
        <v>23.0</v>
      </c>
      <c r="B46" s="3" t="s">
        <v>95</v>
      </c>
      <c r="C46" s="3" t="s">
        <v>515</v>
      </c>
      <c r="D46" s="4">
        <f>+17.99</f>
        <v>17.99</v>
      </c>
      <c r="E46" s="3">
        <v>113.5</v>
      </c>
      <c r="F46" s="3">
        <v>95.6</v>
      </c>
      <c r="G46" s="4">
        <f t="shared" si="1"/>
        <v>0.8476516606</v>
      </c>
      <c r="H46" s="4">
        <f t="shared" si="2"/>
        <v>0.3914629399</v>
      </c>
      <c r="I46" s="11">
        <v>2.10152978369999</v>
      </c>
    </row>
    <row r="47">
      <c r="A47" s="3">
        <v>46.0</v>
      </c>
      <c r="B47" s="3" t="s">
        <v>522</v>
      </c>
      <c r="D47" s="4">
        <f>+14.69</f>
        <v>14.69</v>
      </c>
      <c r="E47" s="3">
        <v>106.6</v>
      </c>
      <c r="F47" s="3">
        <v>91.9</v>
      </c>
      <c r="G47" s="4">
        <f t="shared" si="1"/>
        <v>0.8151496028</v>
      </c>
      <c r="H47" s="4">
        <f t="shared" si="2"/>
        <v>0.4480156275</v>
      </c>
    </row>
    <row r="48">
      <c r="A48" s="3">
        <v>47.0</v>
      </c>
      <c r="B48" s="3" t="s">
        <v>60</v>
      </c>
      <c r="D48" s="4">
        <f>+14.64</f>
        <v>14.64</v>
      </c>
      <c r="E48" s="3">
        <v>112.5</v>
      </c>
      <c r="F48" s="3">
        <v>97.9</v>
      </c>
      <c r="G48" s="4">
        <f t="shared" si="1"/>
        <v>0.8006028946</v>
      </c>
      <c r="H48" s="4">
        <f t="shared" si="2"/>
        <v>0.4712982088</v>
      </c>
    </row>
    <row r="49">
      <c r="A49" s="3">
        <v>48.0</v>
      </c>
      <c r="B49" s="3" t="s">
        <v>161</v>
      </c>
      <c r="D49" s="4">
        <f>+14.54</f>
        <v>14.54</v>
      </c>
      <c r="E49" s="3">
        <v>112.1</v>
      </c>
      <c r="F49" s="3">
        <v>97.5</v>
      </c>
      <c r="G49" s="4">
        <f t="shared" si="1"/>
        <v>0.8014512557</v>
      </c>
      <c r="H49" s="4">
        <f t="shared" si="2"/>
        <v>0.4699720994</v>
      </c>
    </row>
    <row r="50">
      <c r="A50" s="3">
        <v>49.0</v>
      </c>
      <c r="B50" s="3" t="s">
        <v>68</v>
      </c>
      <c r="D50" s="4">
        <f>+14.11</f>
        <v>14.11</v>
      </c>
      <c r="E50" s="3">
        <v>115.7</v>
      </c>
      <c r="F50" s="3">
        <v>101.6</v>
      </c>
      <c r="G50" s="4">
        <f t="shared" si="1"/>
        <v>0.7857627726</v>
      </c>
      <c r="H50" s="4">
        <f t="shared" si="2"/>
        <v>0.4938908572</v>
      </c>
    </row>
    <row r="51">
      <c r="A51" s="3">
        <v>50.0</v>
      </c>
      <c r="B51" s="3" t="s">
        <v>232</v>
      </c>
      <c r="D51" s="4">
        <f>+13.99</f>
        <v>13.99</v>
      </c>
      <c r="E51" s="3">
        <v>112.0</v>
      </c>
      <c r="F51" s="3">
        <v>98.0</v>
      </c>
      <c r="G51" s="4">
        <f t="shared" si="1"/>
        <v>0.7917182621</v>
      </c>
      <c r="H51" s="4">
        <f t="shared" si="2"/>
        <v>0.4849593584</v>
      </c>
    </row>
    <row r="52">
      <c r="A52" s="3">
        <v>51.0</v>
      </c>
      <c r="B52" s="3" t="s">
        <v>70</v>
      </c>
      <c r="D52" s="4">
        <f>+13.7</f>
        <v>13.7</v>
      </c>
      <c r="E52" s="3">
        <v>113.4</v>
      </c>
      <c r="F52" s="3">
        <v>99.7</v>
      </c>
      <c r="G52" s="4">
        <f t="shared" si="1"/>
        <v>0.7837334233</v>
      </c>
      <c r="H52" s="4">
        <f t="shared" si="2"/>
        <v>0.4968940549</v>
      </c>
    </row>
    <row r="53">
      <c r="A53" s="3">
        <v>55.0</v>
      </c>
      <c r="B53" s="3" t="s">
        <v>121</v>
      </c>
      <c r="C53" s="3" t="s">
        <v>515</v>
      </c>
      <c r="D53" s="4">
        <f>+13.26</f>
        <v>13.26</v>
      </c>
      <c r="E53" s="3">
        <v>109.0</v>
      </c>
      <c r="F53" s="3">
        <v>95.8</v>
      </c>
      <c r="G53" s="4">
        <f t="shared" si="1"/>
        <v>0.7842913595</v>
      </c>
      <c r="H53" s="4">
        <f t="shared" si="2"/>
        <v>0.4960703886</v>
      </c>
      <c r="I53" s="11">
        <v>2.0301313519</v>
      </c>
    </row>
    <row r="54">
      <c r="A54" s="3">
        <v>53.0</v>
      </c>
      <c r="B54" s="3" t="s">
        <v>132</v>
      </c>
      <c r="D54" s="4">
        <f>+13.49</f>
        <v>13.49</v>
      </c>
      <c r="E54" s="3">
        <v>104.8</v>
      </c>
      <c r="F54" s="3">
        <v>91.4</v>
      </c>
      <c r="G54" s="4">
        <f t="shared" si="1"/>
        <v>0.7970702462</v>
      </c>
      <c r="H54" s="4">
        <f t="shared" si="2"/>
        <v>0.476779283</v>
      </c>
    </row>
    <row r="55">
      <c r="A55" s="3">
        <v>54.0</v>
      </c>
      <c r="B55" s="3" t="s">
        <v>156</v>
      </c>
      <c r="D55" s="4">
        <f>+13.41</f>
        <v>13.41</v>
      </c>
      <c r="E55" s="3">
        <v>110.8</v>
      </c>
      <c r="F55" s="3">
        <v>97.4</v>
      </c>
      <c r="G55" s="4">
        <f t="shared" si="1"/>
        <v>0.7839788353</v>
      </c>
      <c r="H55" s="4">
        <f t="shared" si="2"/>
        <v>0.4965319472</v>
      </c>
    </row>
    <row r="56">
      <c r="A56" s="3">
        <v>52.0</v>
      </c>
      <c r="B56" s="3" t="s">
        <v>100</v>
      </c>
      <c r="C56" s="3" t="s">
        <v>515</v>
      </c>
      <c r="D56" s="4">
        <f>+13.55</f>
        <v>13.55</v>
      </c>
      <c r="E56" s="3">
        <v>113.6</v>
      </c>
      <c r="F56" s="3">
        <v>100.0</v>
      </c>
      <c r="G56" s="4">
        <f t="shared" si="1"/>
        <v>0.7816202012</v>
      </c>
      <c r="H56" s="4">
        <f t="shared" si="2"/>
        <v>0.5</v>
      </c>
      <c r="I56" s="11">
        <v>1.98423373619999</v>
      </c>
    </row>
    <row r="57">
      <c r="A57" s="3">
        <v>56.0</v>
      </c>
      <c r="B57" s="3" t="s">
        <v>251</v>
      </c>
      <c r="D57" s="4">
        <f>+13.21</f>
        <v>13.21</v>
      </c>
      <c r="E57" s="3">
        <v>109.0</v>
      </c>
      <c r="F57" s="3">
        <v>95.8</v>
      </c>
      <c r="G57" s="4">
        <f t="shared" si="1"/>
        <v>0.7842913595</v>
      </c>
      <c r="H57" s="4">
        <f t="shared" si="2"/>
        <v>0.4960703886</v>
      </c>
    </row>
    <row r="58">
      <c r="A58" s="3">
        <v>32.0</v>
      </c>
      <c r="B58" s="3" t="s">
        <v>87</v>
      </c>
      <c r="C58" s="3" t="s">
        <v>515</v>
      </c>
      <c r="D58" s="4">
        <f>+16.77</f>
        <v>16.77</v>
      </c>
      <c r="E58" s="3">
        <v>112.5</v>
      </c>
      <c r="F58" s="3">
        <v>95.7</v>
      </c>
      <c r="G58" s="4">
        <f t="shared" si="1"/>
        <v>0.834429232</v>
      </c>
      <c r="H58" s="4">
        <f t="shared" si="2"/>
        <v>0.4152712778</v>
      </c>
      <c r="I58" s="11">
        <v>1.9810211053</v>
      </c>
    </row>
    <row r="59">
      <c r="A59" s="3">
        <v>58.0</v>
      </c>
      <c r="B59" s="3" t="s">
        <v>57</v>
      </c>
      <c r="D59" s="4">
        <f>+13.06</f>
        <v>13.06</v>
      </c>
      <c r="E59" s="3">
        <v>107.2</v>
      </c>
      <c r="F59" s="3">
        <v>94.1</v>
      </c>
      <c r="G59" s="4">
        <f t="shared" si="1"/>
        <v>0.7864036213</v>
      </c>
      <c r="H59" s="4">
        <f t="shared" si="2"/>
        <v>0.4929382653</v>
      </c>
    </row>
    <row r="60">
      <c r="A60" s="3">
        <v>92.0</v>
      </c>
      <c r="B60" s="3" t="s">
        <v>99</v>
      </c>
      <c r="C60" s="3" t="s">
        <v>515</v>
      </c>
      <c r="D60" s="4">
        <f>+8.01</f>
        <v>8.01</v>
      </c>
      <c r="E60" s="3">
        <v>113.5</v>
      </c>
      <c r="F60" s="3">
        <v>105.5</v>
      </c>
      <c r="G60" s="4">
        <f t="shared" si="1"/>
        <v>0.6750068733</v>
      </c>
      <c r="H60" s="4">
        <f t="shared" si="2"/>
        <v>0.6327922402</v>
      </c>
      <c r="I60" s="12">
        <f>3*(1-H331)-1.11540923249999</f>
        <v>-0.920305991</v>
      </c>
    </row>
    <row r="61">
      <c r="A61" s="3">
        <v>35.0</v>
      </c>
      <c r="B61" s="3" t="s">
        <v>61</v>
      </c>
      <c r="C61" s="3" t="s">
        <v>515</v>
      </c>
      <c r="D61" s="4">
        <f>+16.22</f>
        <v>16.22</v>
      </c>
      <c r="E61" s="3">
        <v>111.1</v>
      </c>
      <c r="F61" s="3">
        <v>94.9</v>
      </c>
      <c r="G61" s="4">
        <f t="shared" si="1"/>
        <v>0.8286472011</v>
      </c>
      <c r="H61" s="4">
        <f t="shared" si="2"/>
        <v>0.4253285133</v>
      </c>
      <c r="I61" s="11">
        <v>1.8686290441</v>
      </c>
    </row>
    <row r="62">
      <c r="A62" s="3">
        <v>61.0</v>
      </c>
      <c r="B62" s="3" t="s">
        <v>83</v>
      </c>
      <c r="D62" s="4">
        <f>+12.82</f>
        <v>12.82</v>
      </c>
      <c r="E62" s="3">
        <v>106.9</v>
      </c>
      <c r="F62" s="3">
        <v>94.1</v>
      </c>
      <c r="G62" s="4">
        <f t="shared" si="1"/>
        <v>0.7816585206</v>
      </c>
      <c r="H62" s="4">
        <f t="shared" si="2"/>
        <v>0.4999438722</v>
      </c>
    </row>
    <row r="63">
      <c r="A63" s="3">
        <v>62.0</v>
      </c>
      <c r="B63" s="3" t="s">
        <v>136</v>
      </c>
      <c r="D63" s="4">
        <f>+12.74</f>
        <v>12.74</v>
      </c>
      <c r="E63" s="3">
        <v>111.8</v>
      </c>
      <c r="F63" s="3">
        <v>99.1</v>
      </c>
      <c r="G63" s="4">
        <f t="shared" si="1"/>
        <v>0.7695587224</v>
      </c>
      <c r="H63" s="4">
        <f t="shared" si="2"/>
        <v>0.5173210684</v>
      </c>
    </row>
    <row r="64">
      <c r="A64" s="3">
        <v>63.0</v>
      </c>
      <c r="B64" s="3" t="s">
        <v>32</v>
      </c>
      <c r="D64" s="4">
        <f>+12.73</f>
        <v>12.73</v>
      </c>
      <c r="E64" s="3">
        <v>111.5</v>
      </c>
      <c r="F64" s="3">
        <v>98.7</v>
      </c>
      <c r="G64" s="4">
        <f t="shared" si="1"/>
        <v>0.7719573174</v>
      </c>
      <c r="H64" s="4">
        <f t="shared" si="2"/>
        <v>0.5139305834</v>
      </c>
    </row>
    <row r="65">
      <c r="A65" s="3">
        <v>64.0</v>
      </c>
      <c r="B65" s="3" t="s">
        <v>324</v>
      </c>
      <c r="D65" s="4">
        <f t="shared" ref="D65:D66" si="3">+12.63</f>
        <v>12.63</v>
      </c>
      <c r="E65" s="3">
        <v>107.9</v>
      </c>
      <c r="F65" s="3">
        <v>95.3</v>
      </c>
      <c r="G65" s="4">
        <f t="shared" si="1"/>
        <v>0.7758685873</v>
      </c>
      <c r="H65" s="4">
        <f t="shared" si="2"/>
        <v>0.5083448718</v>
      </c>
    </row>
    <row r="66">
      <c r="A66" s="3">
        <v>65.0</v>
      </c>
      <c r="B66" s="3" t="s">
        <v>50</v>
      </c>
      <c r="D66" s="4">
        <f t="shared" si="3"/>
        <v>12.63</v>
      </c>
      <c r="E66" s="3">
        <v>110.1</v>
      </c>
      <c r="F66" s="3">
        <v>97.5</v>
      </c>
      <c r="G66" s="4">
        <f t="shared" si="1"/>
        <v>0.7712471395</v>
      </c>
      <c r="H66" s="4">
        <f t="shared" si="2"/>
        <v>0.5149371904</v>
      </c>
    </row>
    <row r="67">
      <c r="A67" s="3">
        <v>66.0</v>
      </c>
      <c r="B67" s="3" t="s">
        <v>134</v>
      </c>
      <c r="D67" s="4">
        <f>+12.26</f>
        <v>12.26</v>
      </c>
      <c r="E67" s="3">
        <v>114.7</v>
      </c>
      <c r="F67" s="3">
        <v>102.5</v>
      </c>
      <c r="G67" s="4">
        <f t="shared" si="1"/>
        <v>0.7548358377</v>
      </c>
      <c r="H67" s="4">
        <f t="shared" si="2"/>
        <v>0.5375692934</v>
      </c>
    </row>
    <row r="68">
      <c r="A68" s="3">
        <v>67.0</v>
      </c>
      <c r="B68" s="3" t="s">
        <v>130</v>
      </c>
      <c r="D68" s="4">
        <f>+12.11</f>
        <v>12.11</v>
      </c>
      <c r="E68" s="3">
        <v>111.3</v>
      </c>
      <c r="F68" s="3">
        <v>99.2</v>
      </c>
      <c r="G68" s="4">
        <f t="shared" si="1"/>
        <v>0.7596775384</v>
      </c>
      <c r="H68" s="4">
        <f t="shared" si="2"/>
        <v>0.5310153185</v>
      </c>
    </row>
    <row r="69">
      <c r="A69" s="3">
        <v>68.0</v>
      </c>
      <c r="B69" s="3" t="s">
        <v>133</v>
      </c>
      <c r="D69" s="4">
        <f>+12.04</f>
        <v>12.04</v>
      </c>
      <c r="E69" s="3">
        <v>110.4</v>
      </c>
      <c r="F69" s="3">
        <v>98.4</v>
      </c>
      <c r="G69" s="4">
        <f t="shared" si="1"/>
        <v>0.7596375278</v>
      </c>
      <c r="H69" s="4">
        <f t="shared" si="2"/>
        <v>0.5310698928</v>
      </c>
    </row>
    <row r="70">
      <c r="A70" s="3">
        <v>22.0</v>
      </c>
      <c r="B70" s="3" t="s">
        <v>28</v>
      </c>
      <c r="C70" s="3" t="s">
        <v>515</v>
      </c>
      <c r="D70" s="4">
        <f>+18.05</f>
        <v>18.05</v>
      </c>
      <c r="E70" s="3">
        <v>112.1</v>
      </c>
      <c r="F70" s="3">
        <v>94.0</v>
      </c>
      <c r="G70" s="4">
        <f t="shared" si="1"/>
        <v>0.8533305383</v>
      </c>
      <c r="H70" s="4">
        <f t="shared" si="2"/>
        <v>0.3808758675</v>
      </c>
      <c r="I70" s="11">
        <v>1.7820685253</v>
      </c>
    </row>
    <row r="71">
      <c r="A71" s="3">
        <v>70.0</v>
      </c>
      <c r="B71" s="3" t="s">
        <v>142</v>
      </c>
      <c r="D71" s="4">
        <f>+11.86</f>
        <v>11.86</v>
      </c>
      <c r="E71" s="3">
        <v>107.3</v>
      </c>
      <c r="F71" s="3">
        <v>95.5</v>
      </c>
      <c r="G71" s="4">
        <f t="shared" si="1"/>
        <v>0.7622444068</v>
      </c>
      <c r="H71" s="4">
        <f t="shared" si="2"/>
        <v>0.5274995173</v>
      </c>
    </row>
    <row r="72">
      <c r="A72" s="3">
        <v>41.0</v>
      </c>
      <c r="B72" s="3" t="s">
        <v>77</v>
      </c>
      <c r="C72" s="3" t="s">
        <v>515</v>
      </c>
      <c r="D72" s="4">
        <f>+15.39</f>
        <v>15.39</v>
      </c>
      <c r="E72" s="3">
        <v>120.0</v>
      </c>
      <c r="F72" s="3">
        <v>104.6</v>
      </c>
      <c r="G72" s="4">
        <f t="shared" si="1"/>
        <v>0.7979421263</v>
      </c>
      <c r="H72" s="4">
        <f t="shared" si="2"/>
        <v>0.475432622</v>
      </c>
      <c r="I72" s="11">
        <v>1.4990407512</v>
      </c>
    </row>
    <row r="73">
      <c r="A73" s="3">
        <v>78.0</v>
      </c>
      <c r="B73" s="3" t="s">
        <v>112</v>
      </c>
      <c r="C73" s="3" t="s">
        <v>515</v>
      </c>
      <c r="D73" s="4">
        <f>+11.2</f>
        <v>11.2</v>
      </c>
      <c r="E73" s="3">
        <v>107.7</v>
      </c>
      <c r="F73" s="3">
        <v>96.5</v>
      </c>
      <c r="G73" s="4">
        <f t="shared" si="1"/>
        <v>0.7498975115</v>
      </c>
      <c r="H73" s="4">
        <f t="shared" si="2"/>
        <v>0.5441515649</v>
      </c>
      <c r="I73" s="12">
        <f>2*(1-H358)+1.4109405286</f>
        <v>1.485291329</v>
      </c>
    </row>
    <row r="74">
      <c r="A74" s="3">
        <v>73.0</v>
      </c>
      <c r="B74" s="3" t="s">
        <v>523</v>
      </c>
      <c r="D74" s="4">
        <f>+11.63</f>
        <v>11.63</v>
      </c>
      <c r="E74" s="3">
        <v>105.8</v>
      </c>
      <c r="F74" s="3">
        <v>94.1</v>
      </c>
      <c r="G74" s="4">
        <f t="shared" si="1"/>
        <v>0.7634927432</v>
      </c>
      <c r="H74" s="4">
        <f t="shared" si="2"/>
        <v>0.5257792394</v>
      </c>
    </row>
    <row r="75">
      <c r="A75" s="3">
        <v>74.0</v>
      </c>
      <c r="B75" s="3" t="s">
        <v>141</v>
      </c>
      <c r="D75" s="4">
        <f>+11.48</f>
        <v>11.48</v>
      </c>
      <c r="E75" s="3">
        <v>107.0</v>
      </c>
      <c r="F75" s="3">
        <v>95.5</v>
      </c>
      <c r="G75" s="4">
        <f t="shared" si="1"/>
        <v>0.7571331667</v>
      </c>
      <c r="H75" s="4">
        <f t="shared" si="2"/>
        <v>0.5344720585</v>
      </c>
    </row>
    <row r="76">
      <c r="A76" s="3">
        <v>75.0</v>
      </c>
      <c r="B76" s="3" t="s">
        <v>240</v>
      </c>
      <c r="D76" s="4">
        <f>+11.46</f>
        <v>11.46</v>
      </c>
      <c r="E76" s="3">
        <v>107.3</v>
      </c>
      <c r="F76" s="3">
        <v>95.8</v>
      </c>
      <c r="G76" s="4">
        <f t="shared" si="1"/>
        <v>0.7565136414</v>
      </c>
      <c r="H76" s="4">
        <f t="shared" si="2"/>
        <v>0.5353095161</v>
      </c>
    </row>
    <row r="77">
      <c r="A77" s="3">
        <v>69.0</v>
      </c>
      <c r="B77" s="3" t="s">
        <v>111</v>
      </c>
      <c r="C77" s="3" t="s">
        <v>515</v>
      </c>
      <c r="D77" s="4">
        <f>+11.9</f>
        <v>11.9</v>
      </c>
      <c r="E77" s="3">
        <v>108.4</v>
      </c>
      <c r="F77" s="3">
        <v>96.5</v>
      </c>
      <c r="G77" s="4">
        <f t="shared" si="1"/>
        <v>0.7618503353</v>
      </c>
      <c r="H77" s="4">
        <f t="shared" si="2"/>
        <v>0.528041145</v>
      </c>
      <c r="I77" s="11">
        <f>1-H371+0.3233462169</f>
        <v>1.323346217</v>
      </c>
    </row>
    <row r="78">
      <c r="A78" s="3">
        <v>77.0</v>
      </c>
      <c r="B78" s="3" t="s">
        <v>524</v>
      </c>
      <c r="D78" s="4">
        <f>+11.22</f>
        <v>11.22</v>
      </c>
      <c r="E78" s="3">
        <v>108.9</v>
      </c>
      <c r="F78" s="3">
        <v>97.7</v>
      </c>
      <c r="G78" s="4">
        <f t="shared" si="1"/>
        <v>0.7474927621</v>
      </c>
      <c r="H78" s="4">
        <f t="shared" si="2"/>
        <v>0.5473200812</v>
      </c>
    </row>
    <row r="79">
      <c r="A79" s="3">
        <v>59.0</v>
      </c>
      <c r="B79" s="3" t="s">
        <v>227</v>
      </c>
      <c r="C79" s="3" t="s">
        <v>515</v>
      </c>
      <c r="D79" s="4">
        <f>+12.86</f>
        <v>12.86</v>
      </c>
      <c r="E79" s="3">
        <v>114.2</v>
      </c>
      <c r="F79" s="3">
        <v>101.3</v>
      </c>
      <c r="G79" s="4">
        <f t="shared" si="1"/>
        <v>0.7682843359</v>
      </c>
      <c r="H79" s="4">
        <f t="shared" si="2"/>
        <v>0.51911177</v>
      </c>
      <c r="I79" s="11">
        <v>0.410834418</v>
      </c>
    </row>
    <row r="80">
      <c r="A80" s="3">
        <v>79.0</v>
      </c>
      <c r="B80" s="3" t="s">
        <v>135</v>
      </c>
      <c r="D80" s="4">
        <f>+11.12</f>
        <v>11.12</v>
      </c>
      <c r="E80" s="3">
        <v>109.8</v>
      </c>
      <c r="F80" s="3">
        <v>98.6</v>
      </c>
      <c r="G80" s="4">
        <f t="shared" si="1"/>
        <v>0.7457159235</v>
      </c>
      <c r="H80" s="4">
        <f t="shared" si="2"/>
        <v>0.5496460084</v>
      </c>
    </row>
    <row r="81">
      <c r="A81" s="3">
        <v>80.0</v>
      </c>
      <c r="B81" s="3" t="s">
        <v>48</v>
      </c>
      <c r="D81" s="4">
        <f>+10.51</f>
        <v>10.51</v>
      </c>
      <c r="E81" s="3">
        <v>113.9</v>
      </c>
      <c r="F81" s="3">
        <v>103.4</v>
      </c>
      <c r="G81" s="4">
        <f t="shared" si="1"/>
        <v>0.7245528809</v>
      </c>
      <c r="H81" s="4">
        <f t="shared" si="2"/>
        <v>0.5763906898</v>
      </c>
    </row>
    <row r="82">
      <c r="A82" s="3">
        <v>81.0</v>
      </c>
      <c r="B82" s="3" t="s">
        <v>163</v>
      </c>
      <c r="D82" s="4">
        <f>+10.29</f>
        <v>10.29</v>
      </c>
      <c r="E82" s="3">
        <v>113.9</v>
      </c>
      <c r="F82" s="3">
        <v>103.7</v>
      </c>
      <c r="G82" s="4">
        <f t="shared" si="1"/>
        <v>0.7187334061</v>
      </c>
      <c r="H82" s="4">
        <f t="shared" si="2"/>
        <v>0.5834483948</v>
      </c>
    </row>
    <row r="83">
      <c r="A83" s="3">
        <v>82.0</v>
      </c>
      <c r="B83" s="3" t="s">
        <v>525</v>
      </c>
      <c r="D83" s="4">
        <f>+10.28</f>
        <v>10.28</v>
      </c>
      <c r="E83" s="3">
        <v>108.3</v>
      </c>
      <c r="F83" s="3">
        <v>98.0</v>
      </c>
      <c r="G83" s="4">
        <f t="shared" si="1"/>
        <v>0.7309360233</v>
      </c>
      <c r="H83" s="4">
        <f t="shared" si="2"/>
        <v>0.5685055555</v>
      </c>
    </row>
    <row r="84">
      <c r="A84" s="3">
        <v>83.0</v>
      </c>
      <c r="B84" s="3" t="s">
        <v>391</v>
      </c>
      <c r="D84" s="4">
        <f>+9.66</f>
        <v>9.66</v>
      </c>
      <c r="E84" s="3">
        <v>111.0</v>
      </c>
      <c r="F84" s="3">
        <v>101.3</v>
      </c>
      <c r="G84" s="4">
        <f t="shared" si="1"/>
        <v>0.7139074354</v>
      </c>
      <c r="H84" s="4">
        <f t="shared" si="2"/>
        <v>0.5892087368</v>
      </c>
    </row>
    <row r="85">
      <c r="A85" s="3">
        <v>84.0</v>
      </c>
      <c r="B85" s="3" t="s">
        <v>280</v>
      </c>
      <c r="D85" s="4">
        <f>+9.45</f>
        <v>9.45</v>
      </c>
      <c r="E85" s="3">
        <v>113.8</v>
      </c>
      <c r="F85" s="3">
        <v>104.3</v>
      </c>
      <c r="G85" s="4">
        <f t="shared" si="1"/>
        <v>0.7051017208</v>
      </c>
      <c r="H85" s="4">
        <f t="shared" si="2"/>
        <v>0.5995094595</v>
      </c>
    </row>
    <row r="86">
      <c r="A86" s="3">
        <v>85.0</v>
      </c>
      <c r="B86" s="3" t="s">
        <v>283</v>
      </c>
      <c r="D86" s="4">
        <f>+9.41</f>
        <v>9.41</v>
      </c>
      <c r="E86" s="3">
        <v>110.3</v>
      </c>
      <c r="F86" s="3">
        <v>100.8</v>
      </c>
      <c r="G86" s="4">
        <f t="shared" si="1"/>
        <v>0.7110842318</v>
      </c>
      <c r="H86" s="4">
        <f t="shared" si="2"/>
        <v>0.5925404549</v>
      </c>
    </row>
    <row r="87">
      <c r="A87" s="3">
        <v>86.0</v>
      </c>
      <c r="B87" s="3" t="s">
        <v>222</v>
      </c>
      <c r="D87" s="4">
        <f>+9.05</f>
        <v>9.05</v>
      </c>
      <c r="E87" s="3">
        <v>112.1</v>
      </c>
      <c r="F87" s="3">
        <v>103.1</v>
      </c>
      <c r="G87" s="4">
        <f t="shared" si="1"/>
        <v>0.6978160076</v>
      </c>
      <c r="H87" s="4">
        <f t="shared" si="2"/>
        <v>0.6078333358</v>
      </c>
    </row>
    <row r="88">
      <c r="A88" s="3">
        <v>87.0</v>
      </c>
      <c r="B88" s="3" t="s">
        <v>306</v>
      </c>
      <c r="D88" s="4">
        <f>+8.83</f>
        <v>8.83</v>
      </c>
      <c r="E88" s="3">
        <v>119.5</v>
      </c>
      <c r="F88" s="3">
        <v>110.6</v>
      </c>
      <c r="G88" s="4">
        <f t="shared" si="1"/>
        <v>0.6843775078</v>
      </c>
      <c r="H88" s="4">
        <f t="shared" si="2"/>
        <v>0.6227343355</v>
      </c>
    </row>
    <row r="89">
      <c r="A89" s="3">
        <v>88.0</v>
      </c>
      <c r="B89" s="3" t="s">
        <v>108</v>
      </c>
      <c r="C89" s="3" t="s">
        <v>515</v>
      </c>
      <c r="D89" s="4">
        <f>+8.51</f>
        <v>8.51</v>
      </c>
      <c r="E89" s="3">
        <v>111.4</v>
      </c>
      <c r="F89" s="3">
        <v>102.9</v>
      </c>
      <c r="G89" s="4">
        <f t="shared" si="1"/>
        <v>0.6886245635</v>
      </c>
      <c r="H89" s="4">
        <f t="shared" si="2"/>
        <v>0.618086992</v>
      </c>
      <c r="I89" s="11">
        <f>3*(1-H364)+0.264102283799999</f>
        <v>0.3085171261</v>
      </c>
    </row>
    <row r="90">
      <c r="A90" s="3">
        <v>89.0</v>
      </c>
      <c r="B90" s="3" t="s">
        <v>287</v>
      </c>
      <c r="D90" s="4">
        <f>+8.39</f>
        <v>8.39</v>
      </c>
      <c r="E90" s="3">
        <v>110.8</v>
      </c>
      <c r="F90" s="3">
        <v>102.4</v>
      </c>
      <c r="G90" s="4">
        <f t="shared" si="1"/>
        <v>0.6874878089</v>
      </c>
      <c r="H90" s="4">
        <f t="shared" si="2"/>
        <v>0.6193364116</v>
      </c>
    </row>
    <row r="91">
      <c r="A91" s="3">
        <v>90.0</v>
      </c>
      <c r="B91" s="3" t="s">
        <v>250</v>
      </c>
      <c r="D91" s="4">
        <f>+8.27</f>
        <v>8.27</v>
      </c>
      <c r="E91" s="3">
        <v>106.8</v>
      </c>
      <c r="F91" s="3">
        <v>98.5</v>
      </c>
      <c r="G91" s="4">
        <f t="shared" si="1"/>
        <v>0.6918993077</v>
      </c>
      <c r="H91" s="4">
        <f t="shared" si="2"/>
        <v>0.6144648648</v>
      </c>
    </row>
    <row r="92">
      <c r="A92" s="3">
        <v>91.0</v>
      </c>
      <c r="B92" s="3" t="s">
        <v>104</v>
      </c>
      <c r="C92" s="3" t="s">
        <v>515</v>
      </c>
      <c r="D92" s="4">
        <f>+8.04</f>
        <v>8.04</v>
      </c>
      <c r="E92" s="3">
        <v>109.5</v>
      </c>
      <c r="F92" s="3">
        <v>101.5</v>
      </c>
      <c r="G92" s="4">
        <f t="shared" si="1"/>
        <v>0.6810621933</v>
      </c>
      <c r="H92" s="4">
        <f t="shared" si="2"/>
        <v>0.6263232974</v>
      </c>
      <c r="I92" s="12">
        <f>2*(1-H364)-1.9696583857</f>
        <v>-1.940048491</v>
      </c>
    </row>
    <row r="93">
      <c r="A93" s="3">
        <v>113.0</v>
      </c>
      <c r="B93" s="3" t="s">
        <v>33</v>
      </c>
      <c r="C93" s="3" t="s">
        <v>515</v>
      </c>
      <c r="D93" s="4">
        <f>+5.49</f>
        <v>5.49</v>
      </c>
      <c r="E93" s="3">
        <v>105.1</v>
      </c>
      <c r="F93" s="3">
        <v>99.6</v>
      </c>
      <c r="G93" s="4">
        <f t="shared" si="1"/>
        <v>0.6312309263</v>
      </c>
      <c r="H93" s="4">
        <f t="shared" si="2"/>
        <v>0.6764778383</v>
      </c>
      <c r="I93" s="12">
        <f>2*(1-H343)-2.0380257981</f>
        <v>-1.932800715</v>
      </c>
    </row>
    <row r="94">
      <c r="A94" s="3">
        <v>93.0</v>
      </c>
      <c r="B94" s="3" t="s">
        <v>375</v>
      </c>
      <c r="D94" s="4">
        <f>+7.65</f>
        <v>7.65</v>
      </c>
      <c r="E94" s="3">
        <v>108.0</v>
      </c>
      <c r="F94" s="3">
        <v>100.4</v>
      </c>
      <c r="G94" s="4">
        <f t="shared" si="1"/>
        <v>0.6747372851</v>
      </c>
      <c r="H94" s="4">
        <f t="shared" si="2"/>
        <v>0.6330776884</v>
      </c>
    </row>
    <row r="95">
      <c r="A95" s="3">
        <v>94.0</v>
      </c>
      <c r="B95" s="3" t="s">
        <v>138</v>
      </c>
      <c r="D95" s="4">
        <f>+7.61</f>
        <v>7.61</v>
      </c>
      <c r="E95" s="3">
        <v>106.5</v>
      </c>
      <c r="F95" s="3">
        <v>98.8</v>
      </c>
      <c r="G95" s="4">
        <f t="shared" si="1"/>
        <v>0.6792819299</v>
      </c>
      <c r="H95" s="4">
        <f t="shared" si="2"/>
        <v>0.6282366426</v>
      </c>
    </row>
    <row r="96">
      <c r="A96" s="3">
        <v>95.0</v>
      </c>
      <c r="B96" s="3" t="s">
        <v>526</v>
      </c>
      <c r="D96" s="4">
        <f>+7.38</f>
        <v>7.38</v>
      </c>
      <c r="E96" s="3">
        <v>107.1</v>
      </c>
      <c r="F96" s="3">
        <v>99.7</v>
      </c>
      <c r="G96" s="4">
        <f t="shared" si="1"/>
        <v>0.6717196297</v>
      </c>
      <c r="H96" s="4">
        <f t="shared" si="2"/>
        <v>0.6362582041</v>
      </c>
    </row>
    <row r="97">
      <c r="A97" s="3">
        <v>96.0</v>
      </c>
      <c r="B97" s="3" t="s">
        <v>353</v>
      </c>
      <c r="D97" s="4">
        <f>+7.29</f>
        <v>7.29</v>
      </c>
      <c r="E97" s="3">
        <v>111.4</v>
      </c>
      <c r="F97" s="3">
        <v>104.1</v>
      </c>
      <c r="G97" s="4">
        <f t="shared" si="1"/>
        <v>0.6632371218</v>
      </c>
      <c r="H97" s="4">
        <f t="shared" si="2"/>
        <v>0.6450565908</v>
      </c>
    </row>
    <row r="98">
      <c r="A98" s="3">
        <v>97.0</v>
      </c>
      <c r="B98" s="3" t="s">
        <v>527</v>
      </c>
      <c r="D98" s="4">
        <f>+6.92</f>
        <v>6.92</v>
      </c>
      <c r="E98" s="3">
        <v>109.5</v>
      </c>
      <c r="F98" s="3">
        <v>102.6</v>
      </c>
      <c r="G98" s="4">
        <f t="shared" si="1"/>
        <v>0.6572056245</v>
      </c>
      <c r="H98" s="4">
        <f t="shared" si="2"/>
        <v>0.6511883966</v>
      </c>
    </row>
    <row r="99">
      <c r="A99" s="3">
        <v>98.0</v>
      </c>
      <c r="B99" s="3" t="s">
        <v>139</v>
      </c>
      <c r="D99" s="4">
        <f>+6.7</f>
        <v>6.7</v>
      </c>
      <c r="E99" s="3">
        <v>106.5</v>
      </c>
      <c r="F99" s="3">
        <v>99.8</v>
      </c>
      <c r="G99" s="4">
        <f t="shared" si="1"/>
        <v>0.6569581842</v>
      </c>
      <c r="H99" s="4">
        <f t="shared" si="2"/>
        <v>0.6514377905</v>
      </c>
    </row>
    <row r="100">
      <c r="A100" s="3">
        <v>99.0</v>
      </c>
      <c r="B100" s="3" t="s">
        <v>528</v>
      </c>
      <c r="D100" s="4">
        <f t="shared" ref="D100:D101" si="4">+6.51</f>
        <v>6.51</v>
      </c>
      <c r="E100" s="3">
        <v>107.1</v>
      </c>
      <c r="F100" s="3">
        <v>100.6</v>
      </c>
      <c r="G100" s="4">
        <f t="shared" si="1"/>
        <v>0.651606258</v>
      </c>
      <c r="H100" s="4">
        <f t="shared" si="2"/>
        <v>0.6567909416</v>
      </c>
    </row>
    <row r="101">
      <c r="A101" s="3">
        <v>100.0</v>
      </c>
      <c r="B101" s="3" t="s">
        <v>529</v>
      </c>
      <c r="D101" s="4">
        <f t="shared" si="4"/>
        <v>6.51</v>
      </c>
      <c r="E101" s="3">
        <v>109.6</v>
      </c>
      <c r="F101" s="3">
        <v>103.1</v>
      </c>
      <c r="G101" s="4">
        <f t="shared" si="1"/>
        <v>0.6482554968</v>
      </c>
      <c r="H101" s="4">
        <f t="shared" si="2"/>
        <v>0.6601030259</v>
      </c>
    </row>
    <row r="102">
      <c r="A102" s="3">
        <v>101.0</v>
      </c>
      <c r="B102" s="3" t="s">
        <v>52</v>
      </c>
      <c r="D102" s="4">
        <f>+6.41</f>
        <v>6.41</v>
      </c>
      <c r="E102" s="3">
        <v>109.7</v>
      </c>
      <c r="F102" s="3">
        <v>103.3</v>
      </c>
      <c r="G102" s="4">
        <f t="shared" si="1"/>
        <v>0.6459124825</v>
      </c>
      <c r="H102" s="4">
        <f t="shared" si="2"/>
        <v>0.662401219</v>
      </c>
    </row>
    <row r="103">
      <c r="A103" s="3">
        <v>102.0</v>
      </c>
      <c r="B103" s="3" t="s">
        <v>530</v>
      </c>
      <c r="D103" s="4">
        <f>+6.39</f>
        <v>6.39</v>
      </c>
      <c r="E103" s="3">
        <v>106.6</v>
      </c>
      <c r="F103" s="3">
        <v>100.2</v>
      </c>
      <c r="G103" s="4">
        <f t="shared" si="1"/>
        <v>0.6500259397</v>
      </c>
      <c r="H103" s="4">
        <f t="shared" si="2"/>
        <v>0.6583567677</v>
      </c>
    </row>
    <row r="104">
      <c r="A104" s="3">
        <v>103.0</v>
      </c>
      <c r="B104" s="3" t="s">
        <v>304</v>
      </c>
      <c r="D104" s="4">
        <f>+6.23</f>
        <v>6.23</v>
      </c>
      <c r="E104" s="3">
        <v>109.9</v>
      </c>
      <c r="F104" s="3">
        <v>103.7</v>
      </c>
      <c r="G104" s="4">
        <f t="shared" si="1"/>
        <v>0.6412255759</v>
      </c>
      <c r="H104" s="4">
        <f t="shared" si="2"/>
        <v>0.6669551733</v>
      </c>
    </row>
    <row r="105">
      <c r="A105" s="3">
        <v>104.0</v>
      </c>
      <c r="B105" s="3" t="s">
        <v>264</v>
      </c>
      <c r="D105" s="4">
        <f>+6.21</f>
        <v>6.21</v>
      </c>
      <c r="E105" s="3">
        <v>106.8</v>
      </c>
      <c r="F105" s="3">
        <v>100.6</v>
      </c>
      <c r="G105" s="4">
        <f t="shared" si="1"/>
        <v>0.6452115815</v>
      </c>
      <c r="H105" s="4">
        <f t="shared" si="2"/>
        <v>0.6630858937</v>
      </c>
    </row>
    <row r="106">
      <c r="A106" s="3">
        <v>105.0</v>
      </c>
      <c r="B106" s="3" t="s">
        <v>46</v>
      </c>
      <c r="D106" s="4">
        <f>+6.16</f>
        <v>6.16</v>
      </c>
      <c r="E106" s="3">
        <v>109.5</v>
      </c>
      <c r="F106" s="3">
        <v>103.4</v>
      </c>
      <c r="G106" s="4">
        <f t="shared" si="1"/>
        <v>0.6395002784</v>
      </c>
      <c r="H106" s="4">
        <f t="shared" si="2"/>
        <v>0.6686171634</v>
      </c>
    </row>
    <row r="107">
      <c r="A107" s="3">
        <v>106.0</v>
      </c>
      <c r="B107" s="3" t="s">
        <v>291</v>
      </c>
      <c r="D107" s="4">
        <f>+5.93</f>
        <v>5.93</v>
      </c>
      <c r="E107" s="3">
        <v>108.4</v>
      </c>
      <c r="F107" s="3">
        <v>102.5</v>
      </c>
      <c r="G107" s="4">
        <f t="shared" si="1"/>
        <v>0.6363722252</v>
      </c>
      <c r="H107" s="4">
        <f t="shared" si="2"/>
        <v>0.6716109727</v>
      </c>
    </row>
    <row r="108">
      <c r="A108" s="3">
        <v>107.0</v>
      </c>
      <c r="B108" s="3" t="s">
        <v>247</v>
      </c>
      <c r="D108" s="4">
        <f>+5.92</f>
        <v>5.92</v>
      </c>
      <c r="E108" s="3">
        <v>105.3</v>
      </c>
      <c r="F108" s="3">
        <v>99.4</v>
      </c>
      <c r="G108" s="4">
        <f t="shared" si="1"/>
        <v>0.6402876985</v>
      </c>
      <c r="H108" s="4">
        <f t="shared" si="2"/>
        <v>0.6678595884</v>
      </c>
    </row>
    <row r="109">
      <c r="A109" s="3">
        <v>108.0</v>
      </c>
      <c r="B109" s="3" t="s">
        <v>122</v>
      </c>
      <c r="C109" s="3" t="s">
        <v>515</v>
      </c>
      <c r="D109" s="4">
        <f>+5.88</f>
        <v>5.88</v>
      </c>
      <c r="E109" s="3">
        <v>111.9</v>
      </c>
      <c r="F109" s="3">
        <v>106.1</v>
      </c>
      <c r="G109" s="4">
        <f t="shared" si="1"/>
        <v>0.6300044017</v>
      </c>
      <c r="H109" s="4">
        <f t="shared" si="2"/>
        <v>0.6776291358</v>
      </c>
      <c r="I109" s="12">
        <f>3*(1-H364)-3.09542847899999</f>
        <v>-3.051013637</v>
      </c>
    </row>
    <row r="110">
      <c r="A110" s="3">
        <v>109.0</v>
      </c>
      <c r="B110" s="3" t="s">
        <v>342</v>
      </c>
      <c r="D110" s="4">
        <f>+5.78</f>
        <v>5.78</v>
      </c>
      <c r="E110" s="3">
        <v>109.6</v>
      </c>
      <c r="F110" s="3">
        <v>103.8</v>
      </c>
      <c r="G110" s="4">
        <f t="shared" si="1"/>
        <v>0.6326759738</v>
      </c>
      <c r="H110" s="4">
        <f t="shared" si="2"/>
        <v>0.6751166213</v>
      </c>
    </row>
    <row r="111">
      <c r="A111" s="3">
        <v>110.0</v>
      </c>
      <c r="B111" s="3" t="s">
        <v>64</v>
      </c>
      <c r="D111" s="4">
        <f>+5.71</f>
        <v>5.71</v>
      </c>
      <c r="E111" s="3">
        <v>111.8</v>
      </c>
      <c r="F111" s="3">
        <v>106.1</v>
      </c>
      <c r="G111" s="4">
        <f t="shared" si="1"/>
        <v>0.6279179594</v>
      </c>
      <c r="H111" s="4">
        <f t="shared" si="2"/>
        <v>0.6795790696</v>
      </c>
    </row>
    <row r="112">
      <c r="A112" s="3">
        <v>111.0</v>
      </c>
      <c r="B112" s="3" t="s">
        <v>395</v>
      </c>
      <c r="D112" s="4">
        <f>+5.68</f>
        <v>5.68</v>
      </c>
      <c r="E112" s="3">
        <v>109.3</v>
      </c>
      <c r="F112" s="3">
        <v>103.6</v>
      </c>
      <c r="G112" s="4">
        <f t="shared" si="1"/>
        <v>0.6307860965</v>
      </c>
      <c r="H112" s="4">
        <f t="shared" si="2"/>
        <v>0.6768958163</v>
      </c>
    </row>
    <row r="113">
      <c r="A113" s="3">
        <v>123.0</v>
      </c>
      <c r="B113" s="3" t="s">
        <v>115</v>
      </c>
      <c r="C113" s="3" t="s">
        <v>515</v>
      </c>
      <c r="D113" s="4">
        <f>+4.04</f>
        <v>4.04</v>
      </c>
      <c r="E113" s="3">
        <v>105.9</v>
      </c>
      <c r="F113" s="3">
        <v>101.8</v>
      </c>
      <c r="G113" s="4">
        <f t="shared" si="1"/>
        <v>0.5974500479</v>
      </c>
      <c r="H113" s="4">
        <f t="shared" si="2"/>
        <v>0.7068805966</v>
      </c>
      <c r="I113" s="12">
        <f>3*(1-H353)-0.769124199099999</f>
        <v>-0.6446977724</v>
      </c>
    </row>
    <row r="114">
      <c r="A114" s="3">
        <v>76.0</v>
      </c>
      <c r="B114" s="3" t="s">
        <v>120</v>
      </c>
      <c r="C114" s="3" t="s">
        <v>515</v>
      </c>
      <c r="D114" s="4">
        <f>+11.35</f>
        <v>11.35</v>
      </c>
      <c r="E114" s="3">
        <v>110.7</v>
      </c>
      <c r="F114" s="3">
        <v>99.4</v>
      </c>
      <c r="G114" s="4">
        <f t="shared" si="1"/>
        <v>0.7458722528</v>
      </c>
      <c r="H114" s="4">
        <f t="shared" si="2"/>
        <v>0.549441886</v>
      </c>
      <c r="I114" s="11">
        <v>-0.646301737799999</v>
      </c>
    </row>
    <row r="115">
      <c r="A115" s="3">
        <v>112.0</v>
      </c>
      <c r="B115" s="3" t="s">
        <v>359</v>
      </c>
      <c r="C115" s="3" t="s">
        <v>515</v>
      </c>
      <c r="D115" s="4">
        <f>+5.68</f>
        <v>5.68</v>
      </c>
      <c r="E115" s="3">
        <v>110.3</v>
      </c>
      <c r="F115" s="3">
        <v>104.6</v>
      </c>
      <c r="G115" s="4">
        <f t="shared" si="1"/>
        <v>0.6296239152</v>
      </c>
      <c r="H115" s="4">
        <f t="shared" si="2"/>
        <v>0.6779855286</v>
      </c>
      <c r="I115" s="12">
        <f>2*(1-H366)-0.804023398599999</f>
        <v>1.195976601</v>
      </c>
    </row>
    <row r="116">
      <c r="A116" s="3">
        <v>148.0</v>
      </c>
      <c r="B116" s="3" t="s">
        <v>125</v>
      </c>
      <c r="C116" s="3" t="s">
        <v>515</v>
      </c>
      <c r="D116" s="4">
        <f>+1.22</f>
        <v>1.22</v>
      </c>
      <c r="E116" s="3">
        <v>104.0</v>
      </c>
      <c r="F116" s="3">
        <v>102.7</v>
      </c>
      <c r="G116" s="4">
        <f t="shared" si="1"/>
        <v>0.5314055567</v>
      </c>
      <c r="H116" s="4">
        <f t="shared" si="2"/>
        <v>0.7593913278</v>
      </c>
      <c r="I116" s="12">
        <f>2*(1-H331)-1.4608425774</f>
        <v>-1.33077375</v>
      </c>
    </row>
    <row r="117">
      <c r="A117" s="3">
        <v>116.0</v>
      </c>
      <c r="B117" s="3" t="s">
        <v>434</v>
      </c>
      <c r="D117" s="4">
        <f>+4.99</f>
        <v>4.99</v>
      </c>
      <c r="E117" s="3">
        <v>106.6</v>
      </c>
      <c r="F117" s="3">
        <v>101.6</v>
      </c>
      <c r="G117" s="4">
        <f t="shared" si="1"/>
        <v>0.6178422692</v>
      </c>
      <c r="H117" s="4">
        <f t="shared" si="2"/>
        <v>0.6888467866</v>
      </c>
    </row>
    <row r="118">
      <c r="A118" s="3">
        <v>117.0</v>
      </c>
      <c r="B118" s="3" t="s">
        <v>310</v>
      </c>
      <c r="D118" s="4">
        <f>+4.98</f>
        <v>4.98</v>
      </c>
      <c r="E118" s="3">
        <v>103.2</v>
      </c>
      <c r="F118" s="3">
        <v>98.3</v>
      </c>
      <c r="G118" s="4">
        <f t="shared" si="1"/>
        <v>0.6192693767</v>
      </c>
      <c r="H118" s="4">
        <f t="shared" si="2"/>
        <v>0.6875488929</v>
      </c>
    </row>
    <row r="119">
      <c r="A119" s="3">
        <v>118.0</v>
      </c>
      <c r="B119" s="3" t="s">
        <v>262</v>
      </c>
      <c r="D119" s="4">
        <f>+4.93</f>
        <v>4.93</v>
      </c>
      <c r="E119" s="3">
        <v>110.5</v>
      </c>
      <c r="F119" s="3">
        <v>105.5</v>
      </c>
      <c r="G119" s="4">
        <f t="shared" si="1"/>
        <v>0.613736447</v>
      </c>
      <c r="H119" s="4">
        <f t="shared" si="2"/>
        <v>0.6925541642</v>
      </c>
    </row>
    <row r="120">
      <c r="A120" s="3">
        <v>119.0</v>
      </c>
      <c r="B120" s="3" t="s">
        <v>248</v>
      </c>
      <c r="D120" s="4">
        <f>+4.7</f>
        <v>4.7</v>
      </c>
      <c r="E120" s="3">
        <v>102.7</v>
      </c>
      <c r="F120" s="3">
        <v>98.0</v>
      </c>
      <c r="G120" s="4">
        <f t="shared" si="1"/>
        <v>0.6150159701</v>
      </c>
      <c r="H120" s="4">
        <f t="shared" si="2"/>
        <v>0.6914030368</v>
      </c>
    </row>
    <row r="121">
      <c r="A121" s="3">
        <v>120.0</v>
      </c>
      <c r="B121" s="3" t="s">
        <v>338</v>
      </c>
      <c r="D121" s="4">
        <f>+4.66</f>
        <v>4.66</v>
      </c>
      <c r="E121" s="3">
        <v>107.2</v>
      </c>
      <c r="F121" s="3">
        <v>102.5</v>
      </c>
      <c r="G121" s="4">
        <f t="shared" si="1"/>
        <v>0.6102431736</v>
      </c>
      <c r="H121" s="4">
        <f t="shared" si="2"/>
        <v>0.6956776071</v>
      </c>
    </row>
    <row r="122">
      <c r="A122" s="3">
        <v>121.0</v>
      </c>
      <c r="B122" s="3" t="s">
        <v>314</v>
      </c>
      <c r="D122" s="4">
        <f>+4.65</f>
        <v>4.65</v>
      </c>
      <c r="E122" s="3">
        <v>111.3</v>
      </c>
      <c r="F122" s="3">
        <v>106.6</v>
      </c>
      <c r="G122" s="4">
        <f t="shared" si="1"/>
        <v>0.606221644</v>
      </c>
      <c r="H122" s="4">
        <f t="shared" si="2"/>
        <v>0.6992388036</v>
      </c>
    </row>
    <row r="123">
      <c r="A123" s="3">
        <v>122.0</v>
      </c>
      <c r="B123" s="3" t="s">
        <v>266</v>
      </c>
      <c r="D123" s="4">
        <f>+4.6</f>
        <v>4.6</v>
      </c>
      <c r="E123" s="3">
        <v>106.5</v>
      </c>
      <c r="F123" s="3">
        <v>101.9</v>
      </c>
      <c r="G123" s="4">
        <f t="shared" si="1"/>
        <v>0.6086236457</v>
      </c>
      <c r="H123" s="4">
        <f t="shared" si="2"/>
        <v>0.6971161738</v>
      </c>
    </row>
    <row r="124">
      <c r="A124" s="3">
        <v>114.0</v>
      </c>
      <c r="B124" s="3" t="s">
        <v>29</v>
      </c>
      <c r="C124" s="3" t="s">
        <v>515</v>
      </c>
      <c r="D124" s="4">
        <f>+5.33</f>
        <v>5.33</v>
      </c>
      <c r="E124" s="3">
        <v>109.5</v>
      </c>
      <c r="F124" s="3">
        <v>104.2</v>
      </c>
      <c r="G124" s="4">
        <f t="shared" si="1"/>
        <v>0.6215480723</v>
      </c>
      <c r="H124" s="4">
        <f t="shared" si="2"/>
        <v>0.6854664923</v>
      </c>
      <c r="I124" s="11">
        <f>1-H373-3.78916584769999</f>
        <v>-2.789165848</v>
      </c>
    </row>
    <row r="125">
      <c r="A125" s="3">
        <v>124.0</v>
      </c>
      <c r="B125" s="3" t="s">
        <v>37</v>
      </c>
      <c r="D125" s="4">
        <f>+4.03</f>
        <v>4.03</v>
      </c>
      <c r="E125" s="3">
        <v>104.5</v>
      </c>
      <c r="F125" s="3">
        <v>100.5</v>
      </c>
      <c r="G125" s="4">
        <f t="shared" si="1"/>
        <v>0.5963533368</v>
      </c>
      <c r="H125" s="4">
        <f t="shared" si="2"/>
        <v>0.7078241343</v>
      </c>
    </row>
    <row r="126">
      <c r="A126" s="3">
        <v>125.0</v>
      </c>
      <c r="B126" s="3" t="s">
        <v>288</v>
      </c>
      <c r="D126" s="4">
        <f t="shared" ref="D126:D127" si="5">+3.72</f>
        <v>3.72</v>
      </c>
      <c r="E126" s="3">
        <v>111.2</v>
      </c>
      <c r="F126" s="3">
        <v>107.5</v>
      </c>
      <c r="G126" s="4">
        <f t="shared" si="1"/>
        <v>0.5838006799</v>
      </c>
      <c r="H126" s="4">
        <f t="shared" si="2"/>
        <v>0.7184402497</v>
      </c>
    </row>
    <row r="127">
      <c r="A127" s="3">
        <v>126.0</v>
      </c>
      <c r="B127" s="3" t="s">
        <v>531</v>
      </c>
      <c r="D127" s="4">
        <f t="shared" si="5"/>
        <v>3.72</v>
      </c>
      <c r="E127" s="3">
        <v>110.5</v>
      </c>
      <c r="F127" s="3">
        <v>106.8</v>
      </c>
      <c r="G127" s="4">
        <f t="shared" si="1"/>
        <v>0.5843304199</v>
      </c>
      <c r="H127" s="4">
        <f t="shared" si="2"/>
        <v>0.7179989392</v>
      </c>
    </row>
    <row r="128">
      <c r="A128" s="3">
        <v>127.0</v>
      </c>
      <c r="B128" s="3" t="s">
        <v>309</v>
      </c>
      <c r="D128" s="4">
        <f>+3.65</f>
        <v>3.65</v>
      </c>
      <c r="E128" s="3">
        <v>108.0</v>
      </c>
      <c r="F128" s="3">
        <v>104.4</v>
      </c>
      <c r="G128" s="4">
        <f t="shared" si="1"/>
        <v>0.5839513604</v>
      </c>
      <c r="H128" s="4">
        <f t="shared" si="2"/>
        <v>0.7183147815</v>
      </c>
    </row>
    <row r="129">
      <c r="A129" s="3">
        <v>128.0</v>
      </c>
      <c r="B129" s="3" t="s">
        <v>168</v>
      </c>
      <c r="D129" s="4">
        <f>+3.49</f>
        <v>3.49</v>
      </c>
      <c r="E129" s="3">
        <v>104.6</v>
      </c>
      <c r="F129" s="3">
        <v>101.1</v>
      </c>
      <c r="G129" s="4">
        <f t="shared" si="1"/>
        <v>0.5842717154</v>
      </c>
      <c r="H129" s="4">
        <f t="shared" si="2"/>
        <v>0.7180478728</v>
      </c>
    </row>
    <row r="130">
      <c r="A130" s="3">
        <v>129.0</v>
      </c>
      <c r="B130" s="3" t="s">
        <v>128</v>
      </c>
      <c r="D130" s="4">
        <f>+3.43</f>
        <v>3.43</v>
      </c>
      <c r="E130" s="3">
        <v>108.4</v>
      </c>
      <c r="F130" s="3">
        <v>104.9</v>
      </c>
      <c r="G130" s="4">
        <f t="shared" si="1"/>
        <v>0.5813227408</v>
      </c>
      <c r="H130" s="4">
        <f t="shared" si="2"/>
        <v>0.7204968472</v>
      </c>
    </row>
    <row r="131">
      <c r="A131" s="3">
        <v>130.0</v>
      </c>
      <c r="B131" s="3" t="s">
        <v>326</v>
      </c>
      <c r="D131" s="4">
        <f>+3.41</f>
        <v>3.41</v>
      </c>
      <c r="E131" s="3">
        <v>101.6</v>
      </c>
      <c r="F131" s="3">
        <v>98.2</v>
      </c>
      <c r="G131" s="4">
        <f t="shared" si="1"/>
        <v>0.5842811743</v>
      </c>
      <c r="H131" s="4">
        <f t="shared" si="2"/>
        <v>0.7180399887</v>
      </c>
    </row>
    <row r="132">
      <c r="A132" s="3">
        <v>131.0</v>
      </c>
      <c r="B132" s="3" t="s">
        <v>532</v>
      </c>
      <c r="D132" s="4">
        <f>+3.39</f>
        <v>3.39</v>
      </c>
      <c r="E132" s="3">
        <v>112.4</v>
      </c>
      <c r="F132" s="3">
        <v>109.0</v>
      </c>
      <c r="G132" s="4">
        <f t="shared" si="1"/>
        <v>0.5761920333</v>
      </c>
      <c r="H132" s="4">
        <f t="shared" si="2"/>
        <v>0.7247152197</v>
      </c>
    </row>
    <row r="133">
      <c r="A133" s="3">
        <v>132.0</v>
      </c>
      <c r="B133" s="3" t="s">
        <v>328</v>
      </c>
      <c r="D133" s="4">
        <f>+3.24</f>
        <v>3.24</v>
      </c>
      <c r="E133" s="3">
        <v>105.3</v>
      </c>
      <c r="F133" s="3">
        <v>102.1</v>
      </c>
      <c r="G133" s="4">
        <f t="shared" si="1"/>
        <v>0.5765451945</v>
      </c>
      <c r="H133" s="4">
        <f t="shared" si="2"/>
        <v>0.7244265672</v>
      </c>
    </row>
    <row r="134">
      <c r="A134" s="3">
        <v>133.0</v>
      </c>
      <c r="B134" s="3" t="s">
        <v>308</v>
      </c>
      <c r="D134" s="4">
        <f>+3.12</f>
        <v>3.12</v>
      </c>
      <c r="E134" s="3">
        <v>110.5</v>
      </c>
      <c r="F134" s="3">
        <v>107.4</v>
      </c>
      <c r="G134" s="4">
        <f t="shared" si="1"/>
        <v>0.5706621926</v>
      </c>
      <c r="H134" s="4">
        <f t="shared" si="2"/>
        <v>0.7292024313</v>
      </c>
    </row>
    <row r="135">
      <c r="A135" s="3">
        <v>134.0</v>
      </c>
      <c r="B135" s="3" t="s">
        <v>533</v>
      </c>
      <c r="D135" s="4">
        <f>+3.04</f>
        <v>3.04</v>
      </c>
      <c r="E135" s="3">
        <v>107.7</v>
      </c>
      <c r="F135" s="3">
        <v>104.7</v>
      </c>
      <c r="G135" s="4">
        <f t="shared" si="1"/>
        <v>0.5701601681</v>
      </c>
      <c r="H135" s="4">
        <f t="shared" si="2"/>
        <v>0.7296067955</v>
      </c>
    </row>
    <row r="136">
      <c r="A136" s="3">
        <v>135.0</v>
      </c>
      <c r="B136" s="3" t="s">
        <v>455</v>
      </c>
      <c r="D136" s="4">
        <f t="shared" ref="D136:D137" si="6">+2.89</f>
        <v>2.89</v>
      </c>
      <c r="E136" s="3">
        <v>108.1</v>
      </c>
      <c r="F136" s="3">
        <v>105.2</v>
      </c>
      <c r="G136" s="4">
        <f t="shared" si="1"/>
        <v>0.5675676971</v>
      </c>
      <c r="H136" s="4">
        <f t="shared" si="2"/>
        <v>0.7316870672</v>
      </c>
    </row>
    <row r="137">
      <c r="A137" s="3">
        <v>136.0</v>
      </c>
      <c r="B137" s="3" t="s">
        <v>147</v>
      </c>
      <c r="D137" s="4">
        <f t="shared" si="6"/>
        <v>2.89</v>
      </c>
      <c r="E137" s="3">
        <v>109.1</v>
      </c>
      <c r="F137" s="3">
        <v>106.2</v>
      </c>
      <c r="G137" s="4">
        <f t="shared" si="1"/>
        <v>0.5669475249</v>
      </c>
      <c r="H137" s="4">
        <f t="shared" si="2"/>
        <v>0.732182763</v>
      </c>
    </row>
    <row r="138">
      <c r="A138" s="3">
        <v>137.0</v>
      </c>
      <c r="B138" s="3" t="s">
        <v>343</v>
      </c>
      <c r="D138" s="4">
        <f>+2.56</f>
        <v>2.56</v>
      </c>
      <c r="E138" s="3">
        <v>103.0</v>
      </c>
      <c r="F138" s="3">
        <v>100.4</v>
      </c>
      <c r="G138" s="4">
        <f t="shared" si="1"/>
        <v>0.5635710469</v>
      </c>
      <c r="H138" s="4">
        <f t="shared" si="2"/>
        <v>0.7348684515</v>
      </c>
    </row>
    <row r="139">
      <c r="A139" s="3">
        <v>138.0</v>
      </c>
      <c r="B139" s="3" t="s">
        <v>278</v>
      </c>
      <c r="D139" s="4">
        <f t="shared" ref="D139:D140" si="7">+2.45</f>
        <v>2.45</v>
      </c>
      <c r="E139" s="3">
        <v>112.3</v>
      </c>
      <c r="F139" s="3">
        <v>109.8</v>
      </c>
      <c r="G139" s="4">
        <f t="shared" si="1"/>
        <v>0.5560468037</v>
      </c>
      <c r="H139" s="4">
        <f t="shared" si="2"/>
        <v>0.7407748754</v>
      </c>
    </row>
    <row r="140">
      <c r="A140" s="3">
        <v>139.0</v>
      </c>
      <c r="B140" s="3" t="s">
        <v>295</v>
      </c>
      <c r="D140" s="4">
        <f t="shared" si="7"/>
        <v>2.45</v>
      </c>
      <c r="E140" s="3">
        <v>101.0</v>
      </c>
      <c r="F140" s="3">
        <v>98.5</v>
      </c>
      <c r="G140" s="4">
        <f t="shared" si="1"/>
        <v>0.5623339433</v>
      </c>
      <c r="H140" s="4">
        <f t="shared" si="2"/>
        <v>0.7358469573</v>
      </c>
    </row>
    <row r="141">
      <c r="A141" s="3">
        <v>140.0</v>
      </c>
      <c r="B141" s="3" t="s">
        <v>35</v>
      </c>
      <c r="D141" s="4">
        <f>+2.42</f>
        <v>2.42</v>
      </c>
      <c r="E141" s="3">
        <v>107.2</v>
      </c>
      <c r="F141" s="3">
        <v>104.8</v>
      </c>
      <c r="G141" s="4">
        <f t="shared" si="1"/>
        <v>0.556365584</v>
      </c>
      <c r="H141" s="4">
        <f t="shared" si="2"/>
        <v>0.7405268062</v>
      </c>
    </row>
    <row r="142">
      <c r="A142" s="3">
        <v>141.0</v>
      </c>
      <c r="B142" s="3" t="s">
        <v>282</v>
      </c>
      <c r="D142" s="4">
        <f>+2.27</f>
        <v>2.27</v>
      </c>
      <c r="E142" s="3">
        <v>101.9</v>
      </c>
      <c r="F142" s="3">
        <v>99.6</v>
      </c>
      <c r="G142" s="4">
        <f t="shared" si="1"/>
        <v>0.5568278317</v>
      </c>
      <c r="H142" s="4">
        <f t="shared" si="2"/>
        <v>0.7401667552</v>
      </c>
    </row>
    <row r="143">
      <c r="A143" s="3">
        <v>142.0</v>
      </c>
      <c r="B143" s="3" t="s">
        <v>371</v>
      </c>
      <c r="D143" s="4">
        <f>+2.22</f>
        <v>2.22</v>
      </c>
      <c r="E143" s="3">
        <v>107.4</v>
      </c>
      <c r="F143" s="3">
        <v>105.2</v>
      </c>
      <c r="G143" s="4">
        <f t="shared" si="1"/>
        <v>0.5515582894</v>
      </c>
      <c r="H143" s="4">
        <f t="shared" si="2"/>
        <v>0.744247676</v>
      </c>
    </row>
    <row r="144">
      <c r="A144" s="3">
        <v>143.0</v>
      </c>
      <c r="B144" s="3" t="s">
        <v>534</v>
      </c>
      <c r="D144" s="4">
        <f>+2.18</f>
        <v>2.18</v>
      </c>
      <c r="E144" s="3">
        <v>103.0</v>
      </c>
      <c r="F144" s="3">
        <v>100.8</v>
      </c>
      <c r="G144" s="4">
        <f t="shared" si="1"/>
        <v>0.5537678754</v>
      </c>
      <c r="H144" s="4">
        <f t="shared" si="2"/>
        <v>0.7425427728</v>
      </c>
    </row>
    <row r="145">
      <c r="A145" s="3">
        <v>144.0</v>
      </c>
      <c r="B145" s="3" t="s">
        <v>273</v>
      </c>
      <c r="D145" s="4">
        <f>+1.44</f>
        <v>1.44</v>
      </c>
      <c r="E145" s="3">
        <v>102.4</v>
      </c>
      <c r="F145" s="3">
        <v>100.9</v>
      </c>
      <c r="G145" s="4">
        <f t="shared" si="1"/>
        <v>0.5368251611</v>
      </c>
      <c r="H145" s="4">
        <f t="shared" si="2"/>
        <v>0.7553893134</v>
      </c>
    </row>
    <row r="146">
      <c r="A146" s="3">
        <v>145.0</v>
      </c>
      <c r="B146" s="3" t="s">
        <v>267</v>
      </c>
      <c r="D146" s="4">
        <f>+1.42</f>
        <v>1.42</v>
      </c>
      <c r="E146" s="3">
        <v>105.8</v>
      </c>
      <c r="F146" s="3">
        <v>104.4</v>
      </c>
      <c r="G146" s="4">
        <f t="shared" si="1"/>
        <v>0.5332529531</v>
      </c>
      <c r="H146" s="4">
        <f t="shared" si="2"/>
        <v>0.7580328526</v>
      </c>
    </row>
    <row r="147">
      <c r="A147" s="3">
        <v>146.0</v>
      </c>
      <c r="B147" s="3" t="s">
        <v>433</v>
      </c>
      <c r="D147" s="4">
        <f>+1.34</f>
        <v>1.34</v>
      </c>
      <c r="E147" s="3">
        <v>107.7</v>
      </c>
      <c r="F147" s="3">
        <v>106.4</v>
      </c>
      <c r="G147" s="4">
        <f t="shared" si="1"/>
        <v>0.5303227614</v>
      </c>
      <c r="H147" s="4">
        <f t="shared" si="2"/>
        <v>0.7601848357</v>
      </c>
    </row>
    <row r="148">
      <c r="A148" s="3">
        <v>147.0</v>
      </c>
      <c r="B148" s="3" t="s">
        <v>417</v>
      </c>
      <c r="D148" s="4">
        <f>+1.25</f>
        <v>1.25</v>
      </c>
      <c r="E148" s="3">
        <v>105.8</v>
      </c>
      <c r="F148" s="3">
        <v>104.5</v>
      </c>
      <c r="G148" s="4">
        <f t="shared" si="1"/>
        <v>0.530869309</v>
      </c>
      <c r="H148" s="4">
        <f t="shared" si="2"/>
        <v>0.7597845583</v>
      </c>
    </row>
    <row r="149">
      <c r="A149" s="3">
        <v>115.0</v>
      </c>
      <c r="B149" s="3" t="s">
        <v>84</v>
      </c>
      <c r="C149" s="3" t="s">
        <v>515</v>
      </c>
      <c r="D149" s="4">
        <f>+5.24</f>
        <v>5.24</v>
      </c>
      <c r="E149" s="3">
        <v>112.7</v>
      </c>
      <c r="F149" s="3">
        <v>107.5</v>
      </c>
      <c r="G149" s="4">
        <f t="shared" si="1"/>
        <v>0.6159482722</v>
      </c>
      <c r="H149" s="4">
        <f t="shared" si="2"/>
        <v>0.6905618843</v>
      </c>
      <c r="I149" s="12">
        <f>1-H397-3.0325939077</f>
        <v>-2.032593908</v>
      </c>
    </row>
    <row r="150">
      <c r="A150" s="3">
        <v>149.0</v>
      </c>
      <c r="B150" s="3" t="s">
        <v>365</v>
      </c>
      <c r="D150" s="4">
        <f>+1.22</f>
        <v>1.22</v>
      </c>
      <c r="E150" s="3">
        <v>105.2</v>
      </c>
      <c r="F150" s="3">
        <v>104.0</v>
      </c>
      <c r="G150" s="4">
        <f t="shared" si="1"/>
        <v>0.5286495869</v>
      </c>
      <c r="H150" s="4">
        <f t="shared" si="2"/>
        <v>0.7614070591</v>
      </c>
    </row>
    <row r="151">
      <c r="A151" s="3">
        <v>150.0</v>
      </c>
      <c r="B151" s="3" t="s">
        <v>78</v>
      </c>
      <c r="D151" s="4">
        <f>+1.15</f>
        <v>1.15</v>
      </c>
      <c r="E151" s="3">
        <v>103.5</v>
      </c>
      <c r="F151" s="3">
        <v>102.4</v>
      </c>
      <c r="G151" s="4">
        <f t="shared" si="1"/>
        <v>0.5266868654</v>
      </c>
      <c r="H151" s="4">
        <f t="shared" si="2"/>
        <v>0.7628347372</v>
      </c>
    </row>
    <row r="152">
      <c r="A152" s="3">
        <v>151.0</v>
      </c>
      <c r="B152" s="3" t="s">
        <v>535</v>
      </c>
      <c r="D152" s="4">
        <f>+1.14</f>
        <v>1.14</v>
      </c>
      <c r="E152" s="3">
        <v>106.2</v>
      </c>
      <c r="F152" s="3">
        <v>105.1</v>
      </c>
      <c r="G152" s="4">
        <f t="shared" si="1"/>
        <v>0.526006088</v>
      </c>
      <c r="H152" s="4">
        <f t="shared" si="2"/>
        <v>0.7633284136</v>
      </c>
    </row>
    <row r="153">
      <c r="A153" s="3">
        <v>152.0</v>
      </c>
      <c r="B153" s="3" t="s">
        <v>157</v>
      </c>
      <c r="D153" s="4">
        <f>+1.13</f>
        <v>1.13</v>
      </c>
      <c r="E153" s="3">
        <v>102.3</v>
      </c>
      <c r="F153" s="3">
        <v>101.2</v>
      </c>
      <c r="G153" s="4">
        <f t="shared" si="1"/>
        <v>0.5270009973</v>
      </c>
      <c r="H153" s="4">
        <f t="shared" si="2"/>
        <v>0.7626066762</v>
      </c>
    </row>
    <row r="154">
      <c r="A154" s="3">
        <v>153.0</v>
      </c>
      <c r="B154" s="3" t="s">
        <v>154</v>
      </c>
      <c r="D154" s="4">
        <f>+1.06</f>
        <v>1.06</v>
      </c>
      <c r="E154" s="3">
        <v>104.7</v>
      </c>
      <c r="F154" s="3">
        <v>103.7</v>
      </c>
      <c r="G154" s="4">
        <f t="shared" si="1"/>
        <v>0.5239741088</v>
      </c>
      <c r="H154" s="4">
        <f t="shared" si="2"/>
        <v>0.7647973073</v>
      </c>
    </row>
    <row r="155">
      <c r="A155" s="3">
        <v>154.0</v>
      </c>
      <c r="B155" s="3" t="s">
        <v>166</v>
      </c>
      <c r="D155" s="4">
        <f>+1.05</f>
        <v>1.05</v>
      </c>
      <c r="E155" s="3">
        <v>104.1</v>
      </c>
      <c r="F155" s="3">
        <v>103.1</v>
      </c>
      <c r="G155" s="4">
        <f t="shared" si="1"/>
        <v>0.5241127424</v>
      </c>
      <c r="H155" s="4">
        <f t="shared" si="2"/>
        <v>0.7646973105</v>
      </c>
    </row>
    <row r="156">
      <c r="A156" s="3">
        <v>155.0</v>
      </c>
      <c r="B156" s="3" t="s">
        <v>536</v>
      </c>
      <c r="D156" s="4">
        <f>+0.98</f>
        <v>0.98</v>
      </c>
      <c r="E156" s="3">
        <v>103.5</v>
      </c>
      <c r="F156" s="3">
        <v>102.6</v>
      </c>
      <c r="G156" s="4">
        <f t="shared" si="1"/>
        <v>0.5218203317</v>
      </c>
      <c r="H156" s="4">
        <f t="shared" si="2"/>
        <v>0.7663467211</v>
      </c>
    </row>
    <row r="157">
      <c r="A157" s="3">
        <v>156.0</v>
      </c>
      <c r="B157" s="3" t="s">
        <v>537</v>
      </c>
      <c r="D157" s="4">
        <f>+0.89</f>
        <v>0.89</v>
      </c>
      <c r="E157" s="3">
        <v>104.2</v>
      </c>
      <c r="F157" s="3">
        <v>103.3</v>
      </c>
      <c r="G157" s="4">
        <f t="shared" si="1"/>
        <v>0.5216732935</v>
      </c>
      <c r="H157" s="4">
        <f t="shared" si="2"/>
        <v>0.7664522185</v>
      </c>
    </row>
    <row r="158">
      <c r="A158" s="3">
        <v>157.0</v>
      </c>
      <c r="B158" s="3" t="s">
        <v>450</v>
      </c>
      <c r="D158" s="4">
        <f>+0.86</f>
        <v>0.86</v>
      </c>
      <c r="E158" s="3">
        <v>110.6</v>
      </c>
      <c r="F158" s="3">
        <v>109.8</v>
      </c>
      <c r="G158" s="4">
        <f t="shared" si="1"/>
        <v>0.5181409337</v>
      </c>
      <c r="H158" s="4">
        <f t="shared" si="2"/>
        <v>0.7689759013</v>
      </c>
    </row>
    <row r="159">
      <c r="A159" s="3">
        <v>158.0</v>
      </c>
      <c r="B159" s="3" t="s">
        <v>381</v>
      </c>
      <c r="D159" s="4">
        <f>+0.81</f>
        <v>0.81</v>
      </c>
      <c r="E159" s="3">
        <v>101.3</v>
      </c>
      <c r="F159" s="3">
        <v>100.5</v>
      </c>
      <c r="G159" s="4">
        <f t="shared" si="1"/>
        <v>0.519811332</v>
      </c>
      <c r="H159" s="4">
        <f t="shared" si="2"/>
        <v>0.767785051</v>
      </c>
    </row>
    <row r="160">
      <c r="A160" s="3">
        <v>159.0</v>
      </c>
      <c r="B160" s="3" t="s">
        <v>334</v>
      </c>
      <c r="D160" s="4">
        <f>+0.71</f>
        <v>0.71</v>
      </c>
      <c r="E160" s="3">
        <v>104.4</v>
      </c>
      <c r="F160" s="3">
        <v>103.7</v>
      </c>
      <c r="G160" s="4">
        <f t="shared" si="1"/>
        <v>0.5168125599</v>
      </c>
      <c r="H160" s="4">
        <f t="shared" si="2"/>
        <v>0.7699196567</v>
      </c>
    </row>
    <row r="161">
      <c r="A161" s="3">
        <v>160.0</v>
      </c>
      <c r="B161" s="3" t="s">
        <v>341</v>
      </c>
      <c r="C161" s="3" t="s">
        <v>515</v>
      </c>
      <c r="D161" s="4">
        <f>+0.65</f>
        <v>0.65</v>
      </c>
      <c r="E161" s="3">
        <v>102.8</v>
      </c>
      <c r="F161" s="3">
        <v>102.2</v>
      </c>
      <c r="G161" s="4">
        <f t="shared" si="1"/>
        <v>0.5146300108</v>
      </c>
      <c r="H161" s="4">
        <f t="shared" si="2"/>
        <v>0.7714640334</v>
      </c>
      <c r="I161" s="12">
        <f>2*(1-H364)-5.4074088774</f>
        <v>-5.377798983</v>
      </c>
    </row>
    <row r="162">
      <c r="A162" s="3">
        <v>161.0</v>
      </c>
      <c r="B162" s="3" t="s">
        <v>294</v>
      </c>
      <c r="D162" s="4">
        <f>+0.57</f>
        <v>0.57</v>
      </c>
      <c r="E162" s="3">
        <v>104.4</v>
      </c>
      <c r="F162" s="3">
        <v>103.9</v>
      </c>
      <c r="G162" s="4">
        <f t="shared" si="1"/>
        <v>0.5119996388</v>
      </c>
      <c r="H162" s="4">
        <f t="shared" si="2"/>
        <v>0.7733150613</v>
      </c>
    </row>
    <row r="163">
      <c r="A163" s="3">
        <v>162.0</v>
      </c>
      <c r="B163" s="3" t="s">
        <v>321</v>
      </c>
      <c r="D163" s="4">
        <f>+0.54</f>
        <v>0.54</v>
      </c>
      <c r="E163" s="3">
        <v>107.4</v>
      </c>
      <c r="F163" s="3">
        <v>106.9</v>
      </c>
      <c r="G163" s="4">
        <f t="shared" si="1"/>
        <v>0.5116637937</v>
      </c>
      <c r="H163" s="4">
        <f t="shared" si="2"/>
        <v>0.7735505997</v>
      </c>
    </row>
    <row r="164">
      <c r="A164" s="3">
        <v>163.0</v>
      </c>
      <c r="B164" s="3" t="s">
        <v>538</v>
      </c>
      <c r="D164" s="4">
        <f>+0.46</f>
        <v>0.46</v>
      </c>
      <c r="E164" s="3">
        <v>103.3</v>
      </c>
      <c r="F164" s="3">
        <v>102.9</v>
      </c>
      <c r="G164" s="4">
        <f t="shared" si="1"/>
        <v>0.5096981168</v>
      </c>
      <c r="H164" s="4">
        <f t="shared" si="2"/>
        <v>0.7749255755</v>
      </c>
    </row>
    <row r="165">
      <c r="A165" s="3">
        <v>164.0</v>
      </c>
      <c r="B165" s="3" t="s">
        <v>162</v>
      </c>
      <c r="D165" s="4">
        <f>+0.43</f>
        <v>0.43</v>
      </c>
      <c r="E165" s="3">
        <v>108.6</v>
      </c>
      <c r="F165" s="3">
        <v>108.2</v>
      </c>
      <c r="G165" s="4">
        <f t="shared" si="1"/>
        <v>0.5092240561</v>
      </c>
      <c r="H165" s="4">
        <f t="shared" si="2"/>
        <v>0.7752562564</v>
      </c>
    </row>
    <row r="166">
      <c r="A166" s="3">
        <v>165.0</v>
      </c>
      <c r="B166" s="3" t="s">
        <v>271</v>
      </c>
      <c r="D166" s="4">
        <f>+0.42</f>
        <v>0.42</v>
      </c>
      <c r="E166" s="3">
        <v>105.6</v>
      </c>
      <c r="F166" s="3">
        <v>105.2</v>
      </c>
      <c r="G166" s="4">
        <f t="shared" si="1"/>
        <v>0.5094865389</v>
      </c>
      <c r="H166" s="4">
        <f t="shared" si="2"/>
        <v>0.7750732057</v>
      </c>
    </row>
    <row r="167">
      <c r="A167" s="3">
        <v>166.0</v>
      </c>
      <c r="B167" s="3" t="s">
        <v>31</v>
      </c>
      <c r="D167" s="4">
        <f>+0.4</f>
        <v>0.4</v>
      </c>
      <c r="E167" s="3">
        <v>108.8</v>
      </c>
      <c r="F167" s="3">
        <v>108.4</v>
      </c>
      <c r="G167" s="4">
        <f t="shared" si="1"/>
        <v>0.5092070727</v>
      </c>
      <c r="H167" s="4">
        <f t="shared" si="2"/>
        <v>0.7752680965</v>
      </c>
    </row>
    <row r="168">
      <c r="A168" s="3">
        <v>167.0</v>
      </c>
      <c r="B168" s="3" t="s">
        <v>137</v>
      </c>
      <c r="D168" s="4">
        <f>+0.14</f>
        <v>0.14</v>
      </c>
      <c r="E168" s="3">
        <v>105.0</v>
      </c>
      <c r="F168" s="3">
        <v>104.9</v>
      </c>
      <c r="G168" s="4">
        <f t="shared" si="1"/>
        <v>0.5023820689</v>
      </c>
      <c r="H168" s="4">
        <f t="shared" si="2"/>
        <v>0.7799894434</v>
      </c>
    </row>
    <row r="169">
      <c r="A169" s="3">
        <v>168.0</v>
      </c>
      <c r="B169" s="3" t="s">
        <v>380</v>
      </c>
      <c r="D169" s="4">
        <f>+0.07</f>
        <v>0.07</v>
      </c>
      <c r="E169" s="3">
        <v>104.2</v>
      </c>
      <c r="F169" s="3">
        <v>104.2</v>
      </c>
      <c r="G169" s="4">
        <f t="shared" si="1"/>
        <v>0.5</v>
      </c>
      <c r="H169" s="4">
        <f t="shared" si="2"/>
        <v>0.7816202012</v>
      </c>
    </row>
    <row r="170">
      <c r="A170" s="3">
        <v>169.0</v>
      </c>
      <c r="B170" s="3" t="s">
        <v>67</v>
      </c>
      <c r="D170" s="4">
        <f>+0.04</f>
        <v>0.04</v>
      </c>
      <c r="E170" s="3">
        <v>104.3</v>
      </c>
      <c r="F170" s="3">
        <v>104.2</v>
      </c>
      <c r="G170" s="4">
        <f t="shared" si="1"/>
        <v>0.5023980633</v>
      </c>
      <c r="H170" s="4">
        <f t="shared" si="2"/>
        <v>0.7799784639</v>
      </c>
    </row>
    <row r="171">
      <c r="A171" s="3">
        <v>170.0</v>
      </c>
      <c r="B171" s="3" t="s">
        <v>255</v>
      </c>
      <c r="D171" s="3">
        <v>-0.04</v>
      </c>
      <c r="E171" s="3">
        <v>102.6</v>
      </c>
      <c r="F171" s="3">
        <v>102.6</v>
      </c>
      <c r="G171" s="4">
        <f t="shared" si="1"/>
        <v>0.5</v>
      </c>
      <c r="H171" s="4">
        <f t="shared" si="2"/>
        <v>0.7816202012</v>
      </c>
    </row>
    <row r="172">
      <c r="A172" s="3">
        <v>171.0</v>
      </c>
      <c r="B172" s="3" t="s">
        <v>539</v>
      </c>
      <c r="D172" s="3">
        <v>-0.1</v>
      </c>
      <c r="E172" s="3">
        <v>107.7</v>
      </c>
      <c r="F172" s="3">
        <v>107.8</v>
      </c>
      <c r="G172" s="4">
        <f t="shared" si="1"/>
        <v>0.4976798309</v>
      </c>
      <c r="H172" s="4">
        <f t="shared" si="2"/>
        <v>0.7832001909</v>
      </c>
    </row>
    <row r="173">
      <c r="A173" s="3">
        <v>172.0</v>
      </c>
      <c r="B173" s="3" t="s">
        <v>126</v>
      </c>
      <c r="D173" s="3">
        <v>-0.12</v>
      </c>
      <c r="E173" s="3">
        <v>112.9</v>
      </c>
      <c r="F173" s="3">
        <v>113.1</v>
      </c>
      <c r="G173" s="4">
        <f t="shared" si="1"/>
        <v>0.4955753356</v>
      </c>
      <c r="H173" s="4">
        <f t="shared" si="2"/>
        <v>0.7846262034</v>
      </c>
    </row>
    <row r="174">
      <c r="A174" s="3">
        <v>173.0</v>
      </c>
      <c r="B174" s="3" t="s">
        <v>143</v>
      </c>
      <c r="D174" s="3">
        <v>-0.14</v>
      </c>
      <c r="E174" s="3">
        <v>104.9</v>
      </c>
      <c r="F174" s="3">
        <v>105.1</v>
      </c>
      <c r="G174" s="4">
        <f t="shared" si="1"/>
        <v>0.4952382378</v>
      </c>
      <c r="H174" s="4">
        <f t="shared" si="2"/>
        <v>0.784853997</v>
      </c>
    </row>
    <row r="175">
      <c r="A175" s="3">
        <v>174.0</v>
      </c>
      <c r="B175" s="3" t="s">
        <v>80</v>
      </c>
      <c r="D175" s="3">
        <v>-0.31</v>
      </c>
      <c r="E175" s="3">
        <v>104.7</v>
      </c>
      <c r="F175" s="3">
        <v>105.0</v>
      </c>
      <c r="G175" s="4">
        <f t="shared" si="1"/>
        <v>0.4928474073</v>
      </c>
      <c r="H175" s="4">
        <f t="shared" si="2"/>
        <v>0.786464674</v>
      </c>
    </row>
    <row r="176">
      <c r="A176" s="3">
        <v>175.0</v>
      </c>
      <c r="B176" s="3" t="s">
        <v>346</v>
      </c>
      <c r="D176" s="3">
        <v>-0.35</v>
      </c>
      <c r="E176" s="3">
        <v>100.9</v>
      </c>
      <c r="F176" s="3">
        <v>101.2</v>
      </c>
      <c r="G176" s="4">
        <f t="shared" si="1"/>
        <v>0.4925784714</v>
      </c>
      <c r="H176" s="4">
        <f t="shared" si="2"/>
        <v>0.7866453149</v>
      </c>
    </row>
    <row r="177">
      <c r="A177" s="3">
        <v>176.0</v>
      </c>
      <c r="B177" s="3" t="s">
        <v>540</v>
      </c>
      <c r="C177" s="3" t="s">
        <v>515</v>
      </c>
      <c r="D177" s="3">
        <v>-0.48</v>
      </c>
      <c r="E177" s="3">
        <v>107.1</v>
      </c>
      <c r="F177" s="3">
        <v>107.6</v>
      </c>
      <c r="G177" s="4">
        <f t="shared" si="1"/>
        <v>0.4883579289</v>
      </c>
      <c r="H177" s="4">
        <f t="shared" si="2"/>
        <v>0.7894660496</v>
      </c>
      <c r="I177" s="12">
        <f>4*(1-H364)-5.69033739319999</f>
        <v>-5.631117603</v>
      </c>
    </row>
    <row r="178">
      <c r="A178" s="3">
        <v>177.0</v>
      </c>
      <c r="B178" s="3" t="s">
        <v>438</v>
      </c>
      <c r="D178" s="3">
        <v>-0.64</v>
      </c>
      <c r="E178" s="3">
        <v>103.0</v>
      </c>
      <c r="F178" s="3">
        <v>103.7</v>
      </c>
      <c r="G178" s="4">
        <f t="shared" si="1"/>
        <v>0.4830736528</v>
      </c>
      <c r="H178" s="4">
        <f t="shared" si="2"/>
        <v>0.7929606083</v>
      </c>
    </row>
    <row r="179">
      <c r="A179" s="3">
        <v>178.0</v>
      </c>
      <c r="B179" s="3" t="s">
        <v>335</v>
      </c>
      <c r="D179" s="3">
        <v>-0.7</v>
      </c>
      <c r="E179" s="3">
        <v>99.3</v>
      </c>
      <c r="F179" s="3">
        <v>100.0</v>
      </c>
      <c r="G179" s="4">
        <f t="shared" si="1"/>
        <v>0.4824456806</v>
      </c>
      <c r="H179" s="4">
        <f t="shared" si="2"/>
        <v>0.7933731822</v>
      </c>
    </row>
    <row r="180">
      <c r="A180" s="3">
        <v>179.0</v>
      </c>
      <c r="B180" s="3" t="s">
        <v>473</v>
      </c>
      <c r="D180" s="3">
        <v>-0.71</v>
      </c>
      <c r="E180" s="3">
        <v>103.7</v>
      </c>
      <c r="F180" s="3">
        <v>104.4</v>
      </c>
      <c r="G180" s="4">
        <f t="shared" si="1"/>
        <v>0.4831874401</v>
      </c>
      <c r="H180" s="4">
        <f t="shared" si="2"/>
        <v>0.7928857895</v>
      </c>
    </row>
    <row r="181">
      <c r="A181" s="3">
        <v>180.0</v>
      </c>
      <c r="B181" s="3" t="s">
        <v>344</v>
      </c>
      <c r="D181" s="3">
        <v>-0.73</v>
      </c>
      <c r="E181" s="3">
        <v>103.2</v>
      </c>
      <c r="F181" s="3">
        <v>103.9</v>
      </c>
      <c r="G181" s="4">
        <f t="shared" si="1"/>
        <v>0.4831063203</v>
      </c>
      <c r="H181" s="4">
        <f t="shared" si="2"/>
        <v>0.7929391304</v>
      </c>
    </row>
    <row r="182">
      <c r="A182" s="3">
        <v>181.0</v>
      </c>
      <c r="B182" s="3" t="s">
        <v>541</v>
      </c>
      <c r="D182" s="3">
        <v>-0.76</v>
      </c>
      <c r="E182" s="3">
        <v>101.2</v>
      </c>
      <c r="F182" s="3">
        <v>101.9</v>
      </c>
      <c r="G182" s="4">
        <f t="shared" si="1"/>
        <v>0.482773862</v>
      </c>
      <c r="H182" s="4">
        <f t="shared" si="2"/>
        <v>0.7931576405</v>
      </c>
    </row>
    <row r="183">
      <c r="A183" s="3">
        <v>182.0</v>
      </c>
      <c r="B183" s="3" t="s">
        <v>542</v>
      </c>
      <c r="D183" s="3">
        <v>-0.97</v>
      </c>
      <c r="E183" s="3">
        <v>99.8</v>
      </c>
      <c r="F183" s="3">
        <v>100.7</v>
      </c>
      <c r="G183" s="4">
        <f t="shared" si="1"/>
        <v>0.4775710213</v>
      </c>
      <c r="H183" s="4">
        <f t="shared" si="2"/>
        <v>0.79655644</v>
      </c>
    </row>
    <row r="184">
      <c r="A184" s="3">
        <v>183.0</v>
      </c>
      <c r="B184" s="3" t="s">
        <v>543</v>
      </c>
      <c r="D184" s="3">
        <v>-1.01</v>
      </c>
      <c r="E184" s="3">
        <v>103.1</v>
      </c>
      <c r="F184" s="3">
        <v>104.1</v>
      </c>
      <c r="G184" s="4">
        <f t="shared" si="1"/>
        <v>0.4758872576</v>
      </c>
      <c r="H184" s="4">
        <f t="shared" si="2"/>
        <v>0.7976480657</v>
      </c>
    </row>
    <row r="185">
      <c r="A185" s="3">
        <v>184.0</v>
      </c>
      <c r="B185" s="3" t="s">
        <v>62</v>
      </c>
      <c r="D185" s="3">
        <v>-1.1</v>
      </c>
      <c r="E185" s="3">
        <v>107.9</v>
      </c>
      <c r="F185" s="3">
        <v>109.0</v>
      </c>
      <c r="G185" s="4">
        <f t="shared" si="1"/>
        <v>0.4746641927</v>
      </c>
      <c r="H185" s="4">
        <f t="shared" si="2"/>
        <v>0.7984384844</v>
      </c>
    </row>
    <row r="186">
      <c r="A186" s="3">
        <v>185.0</v>
      </c>
      <c r="B186" s="3" t="s">
        <v>394</v>
      </c>
      <c r="D186" s="3">
        <v>-1.13</v>
      </c>
      <c r="E186" s="3">
        <v>104.9</v>
      </c>
      <c r="F186" s="3">
        <v>106.0</v>
      </c>
      <c r="G186" s="4">
        <f t="shared" si="1"/>
        <v>0.4739446763</v>
      </c>
      <c r="H186" s="4">
        <f t="shared" si="2"/>
        <v>0.7989024911</v>
      </c>
    </row>
    <row r="187">
      <c r="A187" s="3">
        <v>186.0</v>
      </c>
      <c r="B187" s="3" t="s">
        <v>406</v>
      </c>
      <c r="D187" s="3">
        <v>-1.15</v>
      </c>
      <c r="E187" s="3">
        <v>100.7</v>
      </c>
      <c r="F187" s="3">
        <v>101.9</v>
      </c>
      <c r="G187" s="4">
        <f t="shared" si="1"/>
        <v>0.4704192332</v>
      </c>
      <c r="H187" s="4">
        <f t="shared" si="2"/>
        <v>0.8011654819</v>
      </c>
    </row>
    <row r="188">
      <c r="A188" s="3">
        <v>187.0</v>
      </c>
      <c r="B188" s="3" t="s">
        <v>27</v>
      </c>
      <c r="D188" s="3">
        <v>-1.16</v>
      </c>
      <c r="E188" s="3">
        <v>105.6</v>
      </c>
      <c r="F188" s="3">
        <v>106.7</v>
      </c>
      <c r="G188" s="4">
        <f t="shared" si="1"/>
        <v>0.4741161915</v>
      </c>
      <c r="H188" s="4">
        <f t="shared" si="2"/>
        <v>0.7987919495</v>
      </c>
    </row>
    <row r="189">
      <c r="A189" s="3">
        <v>188.0</v>
      </c>
      <c r="B189" s="3" t="s">
        <v>378</v>
      </c>
      <c r="D189" s="3">
        <v>-1.2</v>
      </c>
      <c r="E189" s="3">
        <v>105.0</v>
      </c>
      <c r="F189" s="3">
        <v>106.2</v>
      </c>
      <c r="G189" s="4">
        <f t="shared" si="1"/>
        <v>0.471621136</v>
      </c>
      <c r="H189" s="4">
        <f t="shared" si="2"/>
        <v>0.8003959342</v>
      </c>
    </row>
    <row r="190">
      <c r="A190" s="3">
        <v>189.0</v>
      </c>
      <c r="B190" s="3" t="s">
        <v>330</v>
      </c>
      <c r="D190" s="3">
        <v>-1.29</v>
      </c>
      <c r="E190" s="3">
        <v>104.0</v>
      </c>
      <c r="F190" s="3">
        <v>105.3</v>
      </c>
      <c r="G190" s="4">
        <f t="shared" si="1"/>
        <v>0.4689835766</v>
      </c>
      <c r="H190" s="4">
        <f t="shared" si="2"/>
        <v>0.8020820571</v>
      </c>
    </row>
    <row r="191">
      <c r="A191" s="3">
        <v>190.0</v>
      </c>
      <c r="B191" s="3" t="s">
        <v>544</v>
      </c>
      <c r="D191" s="3">
        <v>-1.32</v>
      </c>
      <c r="E191" s="3">
        <v>104.6</v>
      </c>
      <c r="F191" s="3">
        <v>105.9</v>
      </c>
      <c r="G191" s="4">
        <f t="shared" si="1"/>
        <v>0.4691599467</v>
      </c>
      <c r="H191" s="4">
        <f t="shared" si="2"/>
        <v>0.8019696104</v>
      </c>
    </row>
    <row r="192">
      <c r="A192" s="3">
        <v>191.0</v>
      </c>
      <c r="B192" s="3" t="s">
        <v>274</v>
      </c>
      <c r="D192" s="3">
        <v>-1.36</v>
      </c>
      <c r="E192" s="3">
        <v>104.3</v>
      </c>
      <c r="F192" s="3">
        <v>105.6</v>
      </c>
      <c r="G192" s="4">
        <f t="shared" si="1"/>
        <v>0.4690720128</v>
      </c>
      <c r="H192" s="4">
        <f t="shared" si="2"/>
        <v>0.802025679</v>
      </c>
    </row>
    <row r="193">
      <c r="A193" s="3">
        <v>192.0</v>
      </c>
      <c r="B193" s="3" t="s">
        <v>508</v>
      </c>
      <c r="D193" s="3">
        <v>-1.38</v>
      </c>
      <c r="E193" s="3">
        <v>107.9</v>
      </c>
      <c r="F193" s="3">
        <v>109.3</v>
      </c>
      <c r="G193" s="4">
        <f t="shared" si="1"/>
        <v>0.4678157532</v>
      </c>
      <c r="H193" s="4">
        <f t="shared" si="2"/>
        <v>0.8028255278</v>
      </c>
    </row>
    <row r="194">
      <c r="A194" s="3">
        <v>193.0</v>
      </c>
      <c r="B194" s="3" t="s">
        <v>361</v>
      </c>
      <c r="D194" s="3">
        <v>-1.47</v>
      </c>
      <c r="E194" s="3">
        <v>105.7</v>
      </c>
      <c r="F194" s="3">
        <v>107.1</v>
      </c>
      <c r="G194" s="4">
        <f t="shared" si="1"/>
        <v>0.4671521675</v>
      </c>
      <c r="H194" s="4">
        <f t="shared" si="2"/>
        <v>0.8032471455</v>
      </c>
    </row>
    <row r="195">
      <c r="A195" s="3">
        <v>194.0</v>
      </c>
      <c r="B195" s="3" t="s">
        <v>39</v>
      </c>
      <c r="D195" s="3">
        <v>-1.53</v>
      </c>
      <c r="E195" s="3">
        <v>107.1</v>
      </c>
      <c r="F195" s="3">
        <v>108.7</v>
      </c>
      <c r="G195" s="4">
        <f t="shared" si="1"/>
        <v>0.4629957419</v>
      </c>
      <c r="H195" s="4">
        <f t="shared" si="2"/>
        <v>0.805874219</v>
      </c>
    </row>
    <row r="196">
      <c r="A196" s="3">
        <v>195.0</v>
      </c>
      <c r="B196" s="3" t="s">
        <v>545</v>
      </c>
      <c r="D196" s="3">
        <v>-1.54</v>
      </c>
      <c r="E196" s="3">
        <v>104.0</v>
      </c>
      <c r="F196" s="3">
        <v>105.6</v>
      </c>
      <c r="G196" s="4">
        <f t="shared" si="1"/>
        <v>0.4619052886</v>
      </c>
      <c r="H196" s="4">
        <f t="shared" si="2"/>
        <v>0.8065595352</v>
      </c>
    </row>
    <row r="197">
      <c r="A197" s="3">
        <v>196.0</v>
      </c>
      <c r="B197" s="3" t="s">
        <v>546</v>
      </c>
      <c r="D197" s="3">
        <v>-1.58</v>
      </c>
      <c r="E197" s="3">
        <v>100.1</v>
      </c>
      <c r="F197" s="3">
        <v>101.7</v>
      </c>
      <c r="G197" s="4">
        <f t="shared" si="1"/>
        <v>0.4604388252</v>
      </c>
      <c r="H197" s="4">
        <f t="shared" si="2"/>
        <v>0.8074786208</v>
      </c>
    </row>
    <row r="198">
      <c r="A198" s="3">
        <v>197.0</v>
      </c>
      <c r="B198" s="3" t="s">
        <v>56</v>
      </c>
      <c r="D198" s="3">
        <v>-1.6</v>
      </c>
      <c r="E198" s="3">
        <v>104.2</v>
      </c>
      <c r="F198" s="3">
        <v>105.8</v>
      </c>
      <c r="G198" s="4">
        <f t="shared" si="1"/>
        <v>0.4619775724</v>
      </c>
      <c r="H198" s="4">
        <f t="shared" si="2"/>
        <v>0.806514157</v>
      </c>
    </row>
    <row r="199">
      <c r="A199" s="3">
        <v>198.0</v>
      </c>
      <c r="B199" s="3" t="s">
        <v>296</v>
      </c>
      <c r="D199" s="3">
        <v>-1.7</v>
      </c>
      <c r="E199" s="3">
        <v>101.1</v>
      </c>
      <c r="F199" s="3">
        <v>102.8</v>
      </c>
      <c r="G199" s="4">
        <f t="shared" si="1"/>
        <v>0.458408264</v>
      </c>
      <c r="H199" s="4">
        <f t="shared" si="2"/>
        <v>0.8087464579</v>
      </c>
    </row>
    <row r="200">
      <c r="A200" s="3">
        <v>199.0</v>
      </c>
      <c r="B200" s="3" t="s">
        <v>382</v>
      </c>
      <c r="D200" s="3">
        <v>-1.74</v>
      </c>
      <c r="E200" s="3">
        <v>108.3</v>
      </c>
      <c r="F200" s="3">
        <v>110.0</v>
      </c>
      <c r="G200" s="4">
        <f t="shared" si="1"/>
        <v>0.4611404956</v>
      </c>
      <c r="H200" s="4">
        <f t="shared" si="2"/>
        <v>0.8070392215</v>
      </c>
    </row>
    <row r="201">
      <c r="A201" s="3">
        <v>200.0</v>
      </c>
      <c r="B201" s="3" t="s">
        <v>501</v>
      </c>
      <c r="D201" s="3">
        <v>-1.89</v>
      </c>
      <c r="E201" s="3">
        <v>111.4</v>
      </c>
      <c r="F201" s="3">
        <v>113.3</v>
      </c>
      <c r="G201" s="4">
        <f t="shared" si="1"/>
        <v>0.4578208813</v>
      </c>
      <c r="H201" s="4">
        <f t="shared" si="2"/>
        <v>0.8091121741</v>
      </c>
    </row>
    <row r="202">
      <c r="A202" s="3">
        <v>201.0</v>
      </c>
      <c r="B202" s="3" t="s">
        <v>277</v>
      </c>
      <c r="D202" s="3">
        <v>-2.06</v>
      </c>
      <c r="E202" s="3">
        <v>100.9</v>
      </c>
      <c r="F202" s="3">
        <v>102.9</v>
      </c>
      <c r="G202" s="4">
        <f t="shared" si="1"/>
        <v>0.4510876385</v>
      </c>
      <c r="H202" s="4">
        <f t="shared" si="2"/>
        <v>0.8132716588</v>
      </c>
    </row>
    <row r="203">
      <c r="A203" s="3">
        <v>202.0</v>
      </c>
      <c r="B203" s="3" t="s">
        <v>311</v>
      </c>
      <c r="D203" s="3">
        <v>-2.19</v>
      </c>
      <c r="E203" s="3">
        <v>107.4</v>
      </c>
      <c r="F203" s="3">
        <v>109.6</v>
      </c>
      <c r="G203" s="4">
        <f t="shared" si="1"/>
        <v>0.4494800007</v>
      </c>
      <c r="H203" s="4">
        <f t="shared" si="2"/>
        <v>0.8142559541</v>
      </c>
    </row>
    <row r="204">
      <c r="A204" s="3">
        <v>203.0</v>
      </c>
      <c r="B204" s="3" t="s">
        <v>547</v>
      </c>
      <c r="D204" s="3">
        <v>-2.35</v>
      </c>
      <c r="E204" s="3">
        <v>107.1</v>
      </c>
      <c r="F204" s="3">
        <v>109.5</v>
      </c>
      <c r="G204" s="4">
        <f t="shared" si="1"/>
        <v>0.4448217192</v>
      </c>
      <c r="H204" s="4">
        <f t="shared" si="2"/>
        <v>0.8170890886</v>
      </c>
    </row>
    <row r="205">
      <c r="A205" s="3">
        <v>204.0</v>
      </c>
      <c r="B205" s="3" t="s">
        <v>548</v>
      </c>
      <c r="D205" s="3">
        <v>-2.4</v>
      </c>
      <c r="E205" s="3">
        <v>98.9</v>
      </c>
      <c r="F205" s="3">
        <v>101.3</v>
      </c>
      <c r="G205" s="4">
        <f t="shared" si="1"/>
        <v>0.440342606</v>
      </c>
      <c r="H205" s="4">
        <f t="shared" si="2"/>
        <v>0.8197869798</v>
      </c>
    </row>
    <row r="206">
      <c r="A206" s="3">
        <v>205.0</v>
      </c>
      <c r="B206" s="3" t="s">
        <v>549</v>
      </c>
      <c r="D206" s="3">
        <v>-2.41</v>
      </c>
      <c r="E206" s="3">
        <v>105.4</v>
      </c>
      <c r="F206" s="3">
        <v>107.8</v>
      </c>
      <c r="G206" s="4">
        <f t="shared" si="1"/>
        <v>0.4439490252</v>
      </c>
      <c r="H206" s="4">
        <f t="shared" si="2"/>
        <v>0.8176167445</v>
      </c>
    </row>
    <row r="207">
      <c r="A207" s="3">
        <v>206.0</v>
      </c>
      <c r="B207" s="3" t="s">
        <v>379</v>
      </c>
      <c r="D207" s="3">
        <v>-2.42</v>
      </c>
      <c r="E207" s="3">
        <v>106.1</v>
      </c>
      <c r="F207" s="3">
        <v>108.6</v>
      </c>
      <c r="G207" s="4">
        <f t="shared" si="1"/>
        <v>0.4420383427</v>
      </c>
      <c r="H207" s="4">
        <f t="shared" si="2"/>
        <v>0.8187685978</v>
      </c>
    </row>
    <row r="208">
      <c r="A208" s="3">
        <v>207.0</v>
      </c>
      <c r="B208" s="3" t="s">
        <v>507</v>
      </c>
      <c r="D208" s="3">
        <v>-2.46</v>
      </c>
      <c r="E208" s="3">
        <v>102.1</v>
      </c>
      <c r="F208" s="3">
        <v>104.6</v>
      </c>
      <c r="G208" s="4">
        <f t="shared" si="1"/>
        <v>0.4398161426</v>
      </c>
      <c r="H208" s="4">
        <f t="shared" si="2"/>
        <v>0.8201024085</v>
      </c>
    </row>
    <row r="209">
      <c r="A209" s="3">
        <v>208.0</v>
      </c>
      <c r="B209" s="3" t="s">
        <v>155</v>
      </c>
      <c r="D209" s="3">
        <v>-2.48</v>
      </c>
      <c r="E209" s="3">
        <v>104.9</v>
      </c>
      <c r="F209" s="3">
        <v>107.4</v>
      </c>
      <c r="G209" s="4">
        <f t="shared" si="1"/>
        <v>0.4413890261</v>
      </c>
      <c r="H209" s="4">
        <f t="shared" si="2"/>
        <v>0.8191589789</v>
      </c>
    </row>
    <row r="210">
      <c r="A210" s="3">
        <v>209.0</v>
      </c>
      <c r="B210" s="3" t="s">
        <v>432</v>
      </c>
      <c r="D210" s="3">
        <v>-2.64</v>
      </c>
      <c r="E210" s="3">
        <v>100.2</v>
      </c>
      <c r="F210" s="3">
        <v>102.8</v>
      </c>
      <c r="G210" s="4">
        <f t="shared" si="1"/>
        <v>0.4363050348</v>
      </c>
      <c r="H210" s="4">
        <f t="shared" si="2"/>
        <v>0.8221971487</v>
      </c>
    </row>
    <row r="211">
      <c r="A211" s="3">
        <v>210.0</v>
      </c>
      <c r="B211" s="3" t="s">
        <v>550</v>
      </c>
      <c r="D211" s="3">
        <v>-2.68</v>
      </c>
      <c r="E211" s="3">
        <v>103.1</v>
      </c>
      <c r="F211" s="3">
        <v>105.8</v>
      </c>
      <c r="G211" s="4">
        <f t="shared" si="1"/>
        <v>0.4357297027</v>
      </c>
      <c r="H211" s="4">
        <f t="shared" si="2"/>
        <v>0.8225389205</v>
      </c>
    </row>
    <row r="212">
      <c r="A212" s="3">
        <v>211.0</v>
      </c>
      <c r="B212" s="3" t="s">
        <v>498</v>
      </c>
      <c r="D212" s="3">
        <v>-2.75</v>
      </c>
      <c r="E212" s="3">
        <v>103.9</v>
      </c>
      <c r="F212" s="3">
        <v>106.7</v>
      </c>
      <c r="G212" s="4">
        <f t="shared" si="1"/>
        <v>0.4339083628</v>
      </c>
      <c r="H212" s="4">
        <f t="shared" si="2"/>
        <v>0.8236181558</v>
      </c>
    </row>
    <row r="213">
      <c r="A213" s="3">
        <v>212.0</v>
      </c>
      <c r="B213" s="3" t="s">
        <v>270</v>
      </c>
      <c r="D213" s="3">
        <v>-2.9</v>
      </c>
      <c r="E213" s="3">
        <v>100.7</v>
      </c>
      <c r="F213" s="3">
        <v>103.6</v>
      </c>
      <c r="G213" s="4">
        <f t="shared" si="1"/>
        <v>0.4294941504</v>
      </c>
      <c r="H213" s="4">
        <f t="shared" si="2"/>
        <v>0.8262167771</v>
      </c>
    </row>
    <row r="214">
      <c r="A214" s="3">
        <v>213.0</v>
      </c>
      <c r="B214" s="3" t="s">
        <v>462</v>
      </c>
      <c r="D214" s="3">
        <v>-2.97</v>
      </c>
      <c r="E214" s="3">
        <v>107.7</v>
      </c>
      <c r="F214" s="3">
        <v>110.7</v>
      </c>
      <c r="G214" s="4">
        <f t="shared" si="1"/>
        <v>0.4317431771</v>
      </c>
      <c r="H214" s="4">
        <f t="shared" si="2"/>
        <v>0.8248957868</v>
      </c>
    </row>
    <row r="215">
      <c r="A215" s="3">
        <v>214.0</v>
      </c>
      <c r="B215" s="3" t="s">
        <v>551</v>
      </c>
      <c r="D215" s="3">
        <v>-3.22</v>
      </c>
      <c r="E215" s="3">
        <v>99.9</v>
      </c>
      <c r="F215" s="3">
        <v>103.1</v>
      </c>
      <c r="G215" s="4">
        <f t="shared" si="1"/>
        <v>0.4218223175</v>
      </c>
      <c r="H215" s="4">
        <f t="shared" si="2"/>
        <v>0.8306766286</v>
      </c>
    </row>
    <row r="216">
      <c r="A216" s="3">
        <v>215.0</v>
      </c>
      <c r="B216" s="3" t="s">
        <v>552</v>
      </c>
      <c r="D216" s="3">
        <v>-3.28</v>
      </c>
      <c r="E216" s="3">
        <v>105.7</v>
      </c>
      <c r="F216" s="3">
        <v>109.0</v>
      </c>
      <c r="G216" s="4">
        <f t="shared" si="1"/>
        <v>0.4237421963</v>
      </c>
      <c r="H216" s="4">
        <f t="shared" si="2"/>
        <v>0.8295672087</v>
      </c>
    </row>
    <row r="217">
      <c r="A217" s="3">
        <v>216.0</v>
      </c>
      <c r="B217" s="3" t="s">
        <v>260</v>
      </c>
      <c r="D217" s="3">
        <v>-3.29</v>
      </c>
      <c r="E217" s="3">
        <v>102.4</v>
      </c>
      <c r="F217" s="3">
        <v>105.6</v>
      </c>
      <c r="G217" s="4">
        <f t="shared" si="1"/>
        <v>0.4236721918</v>
      </c>
      <c r="H217" s="4">
        <f t="shared" si="2"/>
        <v>0.8296077391</v>
      </c>
    </row>
    <row r="218">
      <c r="A218" s="3">
        <v>217.0</v>
      </c>
      <c r="B218" s="3" t="s">
        <v>357</v>
      </c>
      <c r="D218" s="3">
        <v>-3.37</v>
      </c>
      <c r="E218" s="3">
        <v>108.9</v>
      </c>
      <c r="F218" s="3">
        <v>112.3</v>
      </c>
      <c r="G218" s="4">
        <f t="shared" si="1"/>
        <v>0.4237401392</v>
      </c>
      <c r="H218" s="4">
        <f t="shared" si="2"/>
        <v>0.8295683998</v>
      </c>
    </row>
    <row r="219">
      <c r="A219" s="3">
        <v>218.0</v>
      </c>
      <c r="B219" s="3" t="s">
        <v>118</v>
      </c>
      <c r="C219" s="3" t="s">
        <v>515</v>
      </c>
      <c r="D219" s="3">
        <v>-3.38</v>
      </c>
      <c r="E219" s="3">
        <v>103.5</v>
      </c>
      <c r="F219" s="3">
        <v>106.9</v>
      </c>
      <c r="G219" s="4">
        <f t="shared" si="1"/>
        <v>0.4198907101</v>
      </c>
      <c r="H219" s="4">
        <f t="shared" si="2"/>
        <v>0.831788384</v>
      </c>
      <c r="I219" s="4">
        <f>-6.5790019911+3*(1-H364)</f>
        <v>-6.534587149</v>
      </c>
    </row>
    <row r="220">
      <c r="A220" s="3">
        <v>219.0</v>
      </c>
      <c r="B220" s="3" t="s">
        <v>347</v>
      </c>
      <c r="D220" s="3">
        <v>-3.63</v>
      </c>
      <c r="E220" s="3">
        <v>104.2</v>
      </c>
      <c r="F220" s="3">
        <v>107.8</v>
      </c>
      <c r="G220" s="4">
        <f t="shared" si="1"/>
        <v>0.4158932133</v>
      </c>
      <c r="H220" s="4">
        <f t="shared" si="2"/>
        <v>0.8340751449</v>
      </c>
    </row>
    <row r="221">
      <c r="A221" s="3">
        <v>220.0</v>
      </c>
      <c r="B221" s="3" t="s">
        <v>553</v>
      </c>
      <c r="D221" s="3">
        <v>-3.64</v>
      </c>
      <c r="E221" s="3">
        <v>104.1</v>
      </c>
      <c r="F221" s="3">
        <v>107.7</v>
      </c>
      <c r="G221" s="4">
        <f t="shared" si="1"/>
        <v>0.4158152862</v>
      </c>
      <c r="H221" s="4">
        <f t="shared" si="2"/>
        <v>0.8341195361</v>
      </c>
    </row>
    <row r="222">
      <c r="A222" s="3">
        <v>221.0</v>
      </c>
      <c r="B222" s="3" t="s">
        <v>148</v>
      </c>
      <c r="D222" s="3">
        <v>-3.79</v>
      </c>
      <c r="E222" s="3">
        <v>103.5</v>
      </c>
      <c r="F222" s="3">
        <v>107.3</v>
      </c>
      <c r="G222" s="4">
        <f t="shared" si="1"/>
        <v>0.4108215026</v>
      </c>
      <c r="H222" s="4">
        <f t="shared" si="2"/>
        <v>0.8369494737</v>
      </c>
    </row>
    <row r="223">
      <c r="A223" s="3">
        <v>222.0</v>
      </c>
      <c r="B223" s="3" t="s">
        <v>356</v>
      </c>
      <c r="D223" s="3">
        <v>-3.82</v>
      </c>
      <c r="E223" s="3">
        <v>107.3</v>
      </c>
      <c r="F223" s="3">
        <v>111.1</v>
      </c>
      <c r="G223" s="4">
        <f t="shared" si="1"/>
        <v>0.4138625341</v>
      </c>
      <c r="H223" s="4">
        <f t="shared" si="2"/>
        <v>0.8352296008</v>
      </c>
    </row>
    <row r="224">
      <c r="A224" s="3">
        <v>223.0</v>
      </c>
      <c r="B224" s="3" t="s">
        <v>285</v>
      </c>
      <c r="D224" s="3">
        <v>-3.83</v>
      </c>
      <c r="E224" s="3">
        <v>102.7</v>
      </c>
      <c r="F224" s="3">
        <v>106.6</v>
      </c>
      <c r="G224" s="4">
        <f t="shared" si="1"/>
        <v>0.4078853992</v>
      </c>
      <c r="H224" s="4">
        <f t="shared" si="2"/>
        <v>0.8385998744</v>
      </c>
    </row>
    <row r="225">
      <c r="A225" s="3">
        <v>224.0</v>
      </c>
      <c r="B225" s="3" t="s">
        <v>409</v>
      </c>
      <c r="D225" s="3">
        <v>-4.23</v>
      </c>
      <c r="E225" s="3">
        <v>110.2</v>
      </c>
      <c r="F225" s="3">
        <v>114.4</v>
      </c>
      <c r="G225" s="4">
        <f t="shared" si="1"/>
        <v>0.407564737</v>
      </c>
      <c r="H225" s="4">
        <f t="shared" si="2"/>
        <v>0.8387795216</v>
      </c>
    </row>
    <row r="226">
      <c r="A226" s="3">
        <v>225.0</v>
      </c>
      <c r="B226" s="3" t="s">
        <v>349</v>
      </c>
      <c r="D226" s="3">
        <v>-4.24</v>
      </c>
      <c r="E226" s="3">
        <v>103.2</v>
      </c>
      <c r="F226" s="3">
        <v>107.5</v>
      </c>
      <c r="G226" s="4">
        <f t="shared" si="1"/>
        <v>0.3993390216</v>
      </c>
      <c r="H226" s="4">
        <f t="shared" si="2"/>
        <v>0.8433480329</v>
      </c>
    </row>
    <row r="227">
      <c r="A227" s="3">
        <v>226.0</v>
      </c>
      <c r="B227" s="3" t="s">
        <v>461</v>
      </c>
      <c r="D227" s="3">
        <v>-4.57</v>
      </c>
      <c r="E227" s="3">
        <v>105.0</v>
      </c>
      <c r="F227" s="3">
        <v>109.5</v>
      </c>
      <c r="G227" s="4">
        <f t="shared" si="1"/>
        <v>0.3966024217</v>
      </c>
      <c r="H227" s="4">
        <f t="shared" si="2"/>
        <v>0.8448511126</v>
      </c>
    </row>
    <row r="228">
      <c r="A228" s="3">
        <v>227.0</v>
      </c>
      <c r="B228" s="3" t="s">
        <v>376</v>
      </c>
      <c r="D228" s="3">
        <v>-4.7</v>
      </c>
      <c r="E228" s="3">
        <v>102.4</v>
      </c>
      <c r="F228" s="3">
        <v>107.1</v>
      </c>
      <c r="G228" s="4">
        <f t="shared" si="1"/>
        <v>0.3896549977</v>
      </c>
      <c r="H228" s="4">
        <f t="shared" si="2"/>
        <v>0.8486299663</v>
      </c>
    </row>
    <row r="229">
      <c r="A229" s="3">
        <v>228.0</v>
      </c>
      <c r="B229" s="3" t="s">
        <v>554</v>
      </c>
      <c r="D229" s="3">
        <v>-4.7</v>
      </c>
      <c r="E229" s="3">
        <v>103.6</v>
      </c>
      <c r="F229" s="3">
        <v>108.3</v>
      </c>
      <c r="G229" s="4">
        <f t="shared" si="1"/>
        <v>0.3908648677</v>
      </c>
      <c r="H229" s="4">
        <f t="shared" si="2"/>
        <v>0.8479756796</v>
      </c>
    </row>
    <row r="230">
      <c r="A230" s="3">
        <v>229.0</v>
      </c>
      <c r="B230" s="3" t="s">
        <v>51</v>
      </c>
      <c r="D230" s="3">
        <v>-4.86</v>
      </c>
      <c r="E230" s="3">
        <v>105.3</v>
      </c>
      <c r="F230" s="3">
        <v>110.2</v>
      </c>
      <c r="G230" s="4">
        <f t="shared" si="1"/>
        <v>0.3882118716</v>
      </c>
      <c r="H230" s="4">
        <f t="shared" si="2"/>
        <v>0.8494083244</v>
      </c>
    </row>
    <row r="231">
      <c r="A231" s="3">
        <v>230.0</v>
      </c>
      <c r="B231" s="3" t="s">
        <v>363</v>
      </c>
      <c r="D231" s="3">
        <v>-4.87</v>
      </c>
      <c r="E231" s="3">
        <v>99.5</v>
      </c>
      <c r="F231" s="3">
        <v>104.3</v>
      </c>
      <c r="G231" s="4">
        <f t="shared" si="1"/>
        <v>0.3843471241</v>
      </c>
      <c r="H231" s="4">
        <f t="shared" si="2"/>
        <v>0.8514817703</v>
      </c>
    </row>
    <row r="232">
      <c r="A232" s="3">
        <v>231.0</v>
      </c>
      <c r="B232" s="3" t="s">
        <v>393</v>
      </c>
      <c r="D232" s="3">
        <v>-4.89</v>
      </c>
      <c r="E232" s="3">
        <v>109.7</v>
      </c>
      <c r="F232" s="3">
        <v>114.6</v>
      </c>
      <c r="G232" s="4">
        <f t="shared" si="1"/>
        <v>0.3924597676</v>
      </c>
      <c r="H232" s="4">
        <f t="shared" si="2"/>
        <v>0.8471107415</v>
      </c>
    </row>
    <row r="233">
      <c r="A233" s="3">
        <v>232.0</v>
      </c>
      <c r="B233" s="3" t="s">
        <v>169</v>
      </c>
      <c r="D233" s="3">
        <v>-5.08</v>
      </c>
      <c r="E233" s="3">
        <v>108.6</v>
      </c>
      <c r="F233" s="3">
        <v>113.7</v>
      </c>
      <c r="G233" s="4">
        <f t="shared" si="1"/>
        <v>0.3872420771</v>
      </c>
      <c r="H233" s="4">
        <f t="shared" si="2"/>
        <v>0.8499301268</v>
      </c>
    </row>
    <row r="234">
      <c r="A234" s="3">
        <v>233.0</v>
      </c>
      <c r="B234" s="3" t="s">
        <v>88</v>
      </c>
      <c r="D234" s="3">
        <v>-5.22</v>
      </c>
      <c r="E234" s="3">
        <v>102.1</v>
      </c>
      <c r="F234" s="3">
        <v>107.3</v>
      </c>
      <c r="G234" s="4">
        <f t="shared" si="1"/>
        <v>0.37830256</v>
      </c>
      <c r="H234" s="4">
        <f t="shared" si="2"/>
        <v>0.8546928576</v>
      </c>
    </row>
    <row r="235">
      <c r="A235" s="3">
        <v>234.0</v>
      </c>
      <c r="B235" s="3" t="s">
        <v>425</v>
      </c>
      <c r="D235" s="3">
        <v>-5.26</v>
      </c>
      <c r="E235" s="3">
        <v>100.2</v>
      </c>
      <c r="F235" s="3">
        <v>105.4</v>
      </c>
      <c r="G235" s="4">
        <f t="shared" si="1"/>
        <v>0.3761447155</v>
      </c>
      <c r="H235" s="4">
        <f t="shared" si="2"/>
        <v>0.8558298863</v>
      </c>
    </row>
    <row r="236">
      <c r="A236" s="3">
        <v>235.0</v>
      </c>
      <c r="B236" s="3" t="s">
        <v>71</v>
      </c>
      <c r="D236" s="3">
        <v>-5.3</v>
      </c>
      <c r="E236" s="3">
        <v>102.4</v>
      </c>
      <c r="F236" s="3">
        <v>107.7</v>
      </c>
      <c r="G236" s="4">
        <f t="shared" si="1"/>
        <v>0.3764535216</v>
      </c>
      <c r="H236" s="4">
        <f t="shared" si="2"/>
        <v>0.8556674652</v>
      </c>
    </row>
    <row r="237">
      <c r="A237" s="3">
        <v>236.0</v>
      </c>
      <c r="B237" s="3" t="s">
        <v>284</v>
      </c>
      <c r="D237" s="3">
        <v>-5.57</v>
      </c>
      <c r="E237" s="3">
        <v>102.4</v>
      </c>
      <c r="F237" s="3">
        <v>108.0</v>
      </c>
      <c r="G237" s="4">
        <f t="shared" si="1"/>
        <v>0.3699467775</v>
      </c>
      <c r="H237" s="4">
        <f t="shared" si="2"/>
        <v>0.859068941</v>
      </c>
    </row>
    <row r="238">
      <c r="A238" s="3">
        <v>237.0</v>
      </c>
      <c r="B238" s="3" t="s">
        <v>129</v>
      </c>
      <c r="D238" s="3">
        <v>-5.61</v>
      </c>
      <c r="E238" s="3">
        <v>100.6</v>
      </c>
      <c r="F238" s="3">
        <v>106.2</v>
      </c>
      <c r="G238" s="4">
        <f t="shared" si="1"/>
        <v>0.3677879033</v>
      </c>
      <c r="H238" s="4">
        <f t="shared" si="2"/>
        <v>0.8601879287</v>
      </c>
    </row>
    <row r="239">
      <c r="A239" s="3">
        <v>238.0</v>
      </c>
      <c r="B239" s="3" t="s">
        <v>164</v>
      </c>
      <c r="D239" s="3">
        <v>-5.64</v>
      </c>
      <c r="E239" s="3">
        <v>98.9</v>
      </c>
      <c r="F239" s="3">
        <v>104.5</v>
      </c>
      <c r="G239" s="4">
        <f t="shared" si="1"/>
        <v>0.3656838499</v>
      </c>
      <c r="H239" s="4">
        <f t="shared" si="2"/>
        <v>0.8612739531</v>
      </c>
    </row>
    <row r="240">
      <c r="A240" s="3">
        <v>239.0</v>
      </c>
      <c r="B240" s="3" t="s">
        <v>555</v>
      </c>
      <c r="D240" s="3">
        <v>-5.84</v>
      </c>
      <c r="E240" s="3">
        <v>102.7</v>
      </c>
      <c r="F240" s="3">
        <v>108.5</v>
      </c>
      <c r="G240" s="4">
        <f t="shared" si="1"/>
        <v>0.3660081356</v>
      </c>
      <c r="H240" s="4">
        <f t="shared" si="2"/>
        <v>0.8611068619</v>
      </c>
    </row>
    <row r="241">
      <c r="A241" s="3">
        <v>240.0</v>
      </c>
      <c r="B241" s="3" t="s">
        <v>319</v>
      </c>
      <c r="D241" s="3">
        <v>-5.99</v>
      </c>
      <c r="E241" s="3">
        <v>100.5</v>
      </c>
      <c r="F241" s="3">
        <v>106.5</v>
      </c>
      <c r="G241" s="4">
        <f t="shared" si="1"/>
        <v>0.3589619143</v>
      </c>
      <c r="H241" s="4">
        <f t="shared" si="2"/>
        <v>0.8647137683</v>
      </c>
    </row>
    <row r="242">
      <c r="A242" s="3">
        <v>241.0</v>
      </c>
      <c r="B242" s="3" t="s">
        <v>286</v>
      </c>
      <c r="D242" s="3">
        <v>-6.09</v>
      </c>
      <c r="E242" s="3">
        <v>99.7</v>
      </c>
      <c r="F242" s="3">
        <v>105.8</v>
      </c>
      <c r="G242" s="4">
        <f t="shared" si="1"/>
        <v>0.355752335</v>
      </c>
      <c r="H242" s="4">
        <f t="shared" si="2"/>
        <v>0.8663403993</v>
      </c>
    </row>
    <row r="243">
      <c r="A243" s="3">
        <v>242.0</v>
      </c>
      <c r="B243" s="3" t="s">
        <v>437</v>
      </c>
      <c r="D243" s="3">
        <v>-6.21</v>
      </c>
      <c r="E243" s="3">
        <v>99.9</v>
      </c>
      <c r="F243" s="3">
        <v>106.1</v>
      </c>
      <c r="G243" s="4">
        <f t="shared" si="1"/>
        <v>0.3538579981</v>
      </c>
      <c r="H243" s="4">
        <f t="shared" si="2"/>
        <v>0.8672957193</v>
      </c>
    </row>
    <row r="244">
      <c r="A244" s="3">
        <v>243.0</v>
      </c>
      <c r="B244" s="3" t="s">
        <v>556</v>
      </c>
      <c r="D244" s="3">
        <v>-6.33</v>
      </c>
      <c r="E244" s="3">
        <v>101.0</v>
      </c>
      <c r="F244" s="3">
        <v>107.4</v>
      </c>
      <c r="G244" s="4">
        <f t="shared" si="1"/>
        <v>0.3510569156</v>
      </c>
      <c r="H244" s="4">
        <f t="shared" si="2"/>
        <v>0.8687019157</v>
      </c>
    </row>
    <row r="245">
      <c r="A245" s="3">
        <v>244.0</v>
      </c>
      <c r="B245" s="3" t="s">
        <v>333</v>
      </c>
      <c r="D245" s="3">
        <v>-6.43</v>
      </c>
      <c r="E245" s="3">
        <v>108.5</v>
      </c>
      <c r="F245" s="3">
        <v>114.9</v>
      </c>
      <c r="G245" s="4">
        <f t="shared" si="1"/>
        <v>0.3605171859</v>
      </c>
      <c r="H245" s="4">
        <f t="shared" si="2"/>
        <v>0.8639218925</v>
      </c>
    </row>
    <row r="246">
      <c r="A246" s="3">
        <v>245.0</v>
      </c>
      <c r="B246" s="3" t="s">
        <v>557</v>
      </c>
      <c r="D246" s="3">
        <v>-6.45</v>
      </c>
      <c r="E246" s="3">
        <v>102.0</v>
      </c>
      <c r="F246" s="3">
        <v>108.5</v>
      </c>
      <c r="G246" s="4">
        <f t="shared" si="1"/>
        <v>0.3502879812</v>
      </c>
      <c r="H246" s="4">
        <f t="shared" si="2"/>
        <v>0.8690866069</v>
      </c>
    </row>
    <row r="247">
      <c r="A247" s="3">
        <v>246.0</v>
      </c>
      <c r="B247" s="3" t="s">
        <v>558</v>
      </c>
      <c r="D247" s="3">
        <v>-6.47</v>
      </c>
      <c r="E247" s="3">
        <v>103.7</v>
      </c>
      <c r="F247" s="3">
        <v>110.1</v>
      </c>
      <c r="G247" s="4">
        <f t="shared" si="1"/>
        <v>0.3546024261</v>
      </c>
      <c r="H247" s="4">
        <f t="shared" si="2"/>
        <v>0.8669207198</v>
      </c>
    </row>
    <row r="248">
      <c r="A248" s="3">
        <v>247.0</v>
      </c>
      <c r="B248" s="3" t="s">
        <v>559</v>
      </c>
      <c r="D248" s="3">
        <v>-6.48</v>
      </c>
      <c r="E248" s="3">
        <v>101.6</v>
      </c>
      <c r="F248" s="3">
        <v>108.0</v>
      </c>
      <c r="G248" s="4">
        <f t="shared" si="1"/>
        <v>0.3518591866</v>
      </c>
      <c r="H248" s="4">
        <f t="shared" si="2"/>
        <v>0.8682999376</v>
      </c>
    </row>
    <row r="249">
      <c r="A249" s="3">
        <v>248.0</v>
      </c>
      <c r="B249" s="3" t="s">
        <v>494</v>
      </c>
      <c r="D249" s="3">
        <v>-6.49</v>
      </c>
      <c r="E249" s="3">
        <v>103.0</v>
      </c>
      <c r="F249" s="3">
        <v>109.5</v>
      </c>
      <c r="G249" s="4">
        <f t="shared" si="1"/>
        <v>0.3516132259</v>
      </c>
      <c r="H249" s="4">
        <f t="shared" si="2"/>
        <v>0.8684232424</v>
      </c>
    </row>
    <row r="250">
      <c r="A250" s="3">
        <v>249.0</v>
      </c>
      <c r="B250" s="3" t="s">
        <v>430</v>
      </c>
      <c r="D250" s="3">
        <v>-6.56</v>
      </c>
      <c r="E250" s="3">
        <v>101.6</v>
      </c>
      <c r="F250" s="3">
        <v>108.2</v>
      </c>
      <c r="G250" s="4">
        <f t="shared" si="1"/>
        <v>0.3476515169</v>
      </c>
      <c r="H250" s="4">
        <f t="shared" si="2"/>
        <v>0.8704012886</v>
      </c>
    </row>
    <row r="251">
      <c r="A251" s="3">
        <v>250.0</v>
      </c>
      <c r="B251" s="3" t="s">
        <v>458</v>
      </c>
      <c r="D251" s="3">
        <v>-6.56</v>
      </c>
      <c r="E251" s="3">
        <v>100.6</v>
      </c>
      <c r="F251" s="3">
        <v>107.1</v>
      </c>
      <c r="G251" s="4">
        <f t="shared" si="1"/>
        <v>0.348393742</v>
      </c>
      <c r="H251" s="4">
        <f t="shared" si="2"/>
        <v>0.8700318501</v>
      </c>
    </row>
    <row r="252">
      <c r="A252" s="3">
        <v>251.0</v>
      </c>
      <c r="B252" s="3" t="s">
        <v>560</v>
      </c>
      <c r="D252" s="3">
        <v>-6.57</v>
      </c>
      <c r="E252" s="3">
        <v>94.2</v>
      </c>
      <c r="F252" s="3">
        <v>100.8</v>
      </c>
      <c r="G252" s="4">
        <f t="shared" si="1"/>
        <v>0.3368905989</v>
      </c>
      <c r="H252" s="4">
        <f t="shared" si="2"/>
        <v>0.8756988435</v>
      </c>
    </row>
    <row r="253">
      <c r="A253" s="3">
        <v>252.0</v>
      </c>
      <c r="B253" s="3" t="s">
        <v>561</v>
      </c>
      <c r="D253" s="3">
        <v>-6.63</v>
      </c>
      <c r="E253" s="3">
        <v>105.4</v>
      </c>
      <c r="F253" s="3">
        <v>112.0</v>
      </c>
      <c r="G253" s="4">
        <f t="shared" si="1"/>
        <v>0.3526611156</v>
      </c>
      <c r="H253" s="4">
        <f t="shared" si="2"/>
        <v>0.8678975082</v>
      </c>
    </row>
    <row r="254">
      <c r="A254" s="3">
        <v>253.0</v>
      </c>
      <c r="B254" s="3" t="s">
        <v>562</v>
      </c>
      <c r="D254" s="3">
        <v>-7.02</v>
      </c>
      <c r="E254" s="3">
        <v>101.8</v>
      </c>
      <c r="F254" s="3">
        <v>108.8</v>
      </c>
      <c r="G254" s="4">
        <f t="shared" si="1"/>
        <v>0.3396145676</v>
      </c>
      <c r="H254" s="4">
        <f t="shared" si="2"/>
        <v>0.874368128</v>
      </c>
    </row>
    <row r="255">
      <c r="A255" s="3">
        <v>254.0</v>
      </c>
      <c r="B255" s="3" t="s">
        <v>563</v>
      </c>
      <c r="D255" s="3">
        <v>-7.03</v>
      </c>
      <c r="E255" s="3">
        <v>98.6</v>
      </c>
      <c r="F255" s="3">
        <v>105.7</v>
      </c>
      <c r="G255" s="4">
        <f t="shared" si="1"/>
        <v>0.3328470372</v>
      </c>
      <c r="H255" s="4">
        <f t="shared" si="2"/>
        <v>0.8776615349</v>
      </c>
    </row>
    <row r="256">
      <c r="A256" s="3">
        <v>255.0</v>
      </c>
      <c r="B256" s="3" t="s">
        <v>360</v>
      </c>
      <c r="D256" s="3">
        <v>-7.07</v>
      </c>
      <c r="E256" s="3">
        <v>97.5</v>
      </c>
      <c r="F256" s="3">
        <v>104.6</v>
      </c>
      <c r="G256" s="4">
        <f t="shared" si="1"/>
        <v>0.3311669749</v>
      </c>
      <c r="H256" s="4">
        <f t="shared" si="2"/>
        <v>0.8784725972</v>
      </c>
    </row>
    <row r="257">
      <c r="A257" s="3">
        <v>256.0</v>
      </c>
      <c r="B257" s="3" t="s">
        <v>405</v>
      </c>
      <c r="D257" s="3">
        <v>-7.21</v>
      </c>
      <c r="E257" s="3">
        <v>103.8</v>
      </c>
      <c r="F257" s="3">
        <v>111.0</v>
      </c>
      <c r="G257" s="4">
        <f t="shared" si="1"/>
        <v>0.3383530327</v>
      </c>
      <c r="H257" s="4">
        <f t="shared" si="2"/>
        <v>0.874985273</v>
      </c>
    </row>
    <row r="258">
      <c r="A258" s="3">
        <v>257.0</v>
      </c>
      <c r="B258" s="3" t="s">
        <v>564</v>
      </c>
      <c r="D258" s="3">
        <v>-7.21</v>
      </c>
      <c r="E258" s="3">
        <v>100.5</v>
      </c>
      <c r="F258" s="3">
        <v>107.7</v>
      </c>
      <c r="G258" s="4">
        <f t="shared" si="1"/>
        <v>0.3336064145</v>
      </c>
      <c r="H258" s="4">
        <f t="shared" si="2"/>
        <v>0.8772940915</v>
      </c>
    </row>
    <row r="259">
      <c r="A259" s="3">
        <v>258.0</v>
      </c>
      <c r="B259" s="3" t="s">
        <v>457</v>
      </c>
      <c r="D259" s="3">
        <v>-7.25</v>
      </c>
      <c r="E259" s="3">
        <v>103.8</v>
      </c>
      <c r="F259" s="3">
        <v>111.1</v>
      </c>
      <c r="G259" s="4">
        <f t="shared" si="1"/>
        <v>0.3363400352</v>
      </c>
      <c r="H259" s="4">
        <f t="shared" si="2"/>
        <v>0.8759669677</v>
      </c>
    </row>
    <row r="260">
      <c r="A260" s="3">
        <v>259.0</v>
      </c>
      <c r="B260" s="3" t="s">
        <v>424</v>
      </c>
      <c r="D260" s="3">
        <v>-7.29</v>
      </c>
      <c r="E260" s="3">
        <v>100.8</v>
      </c>
      <c r="F260" s="3">
        <v>108.1</v>
      </c>
      <c r="G260" s="4">
        <f t="shared" si="1"/>
        <v>0.3319932391</v>
      </c>
      <c r="H260" s="4">
        <f t="shared" si="2"/>
        <v>0.8780740347</v>
      </c>
    </row>
    <row r="261">
      <c r="A261" s="3">
        <v>260.0</v>
      </c>
      <c r="B261" s="3" t="s">
        <v>486</v>
      </c>
      <c r="D261" s="3">
        <v>-7.83</v>
      </c>
      <c r="E261" s="3">
        <v>99.4</v>
      </c>
      <c r="F261" s="3">
        <v>107.3</v>
      </c>
      <c r="G261" s="4">
        <f t="shared" si="1"/>
        <v>0.3176125503</v>
      </c>
      <c r="H261" s="4">
        <f t="shared" si="2"/>
        <v>0.8849229386</v>
      </c>
    </row>
    <row r="262">
      <c r="A262" s="3">
        <v>261.0</v>
      </c>
      <c r="B262" s="3" t="s">
        <v>332</v>
      </c>
      <c r="D262" s="3">
        <v>-7.86</v>
      </c>
      <c r="E262" s="3">
        <v>98.8</v>
      </c>
      <c r="F262" s="3">
        <v>106.7</v>
      </c>
      <c r="G262" s="4">
        <f t="shared" si="1"/>
        <v>0.3166444985</v>
      </c>
      <c r="H262" s="4">
        <f t="shared" si="2"/>
        <v>0.8853773732</v>
      </c>
    </row>
    <row r="263">
      <c r="A263" s="3">
        <v>262.0</v>
      </c>
      <c r="B263" s="3" t="s">
        <v>466</v>
      </c>
      <c r="D263" s="3">
        <v>-7.89</v>
      </c>
      <c r="E263" s="3">
        <v>102.3</v>
      </c>
      <c r="F263" s="3">
        <v>110.2</v>
      </c>
      <c r="G263" s="4">
        <f t="shared" si="1"/>
        <v>0.322157973</v>
      </c>
      <c r="H263" s="4">
        <f t="shared" si="2"/>
        <v>0.8827781304</v>
      </c>
    </row>
    <row r="264">
      <c r="A264" s="3">
        <v>263.0</v>
      </c>
      <c r="B264" s="3" t="s">
        <v>565</v>
      </c>
      <c r="D264" s="3">
        <v>-8.1</v>
      </c>
      <c r="E264" s="3">
        <v>99.0</v>
      </c>
      <c r="F264" s="3">
        <v>107.1</v>
      </c>
      <c r="G264" s="4">
        <f t="shared" si="1"/>
        <v>0.3129354574</v>
      </c>
      <c r="H264" s="4">
        <f t="shared" si="2"/>
        <v>0.8871109395</v>
      </c>
    </row>
    <row r="265">
      <c r="A265" s="3">
        <v>264.0</v>
      </c>
      <c r="B265" s="3" t="s">
        <v>468</v>
      </c>
      <c r="D265" s="3">
        <v>-8.27</v>
      </c>
      <c r="E265" s="3">
        <v>95.5</v>
      </c>
      <c r="F265" s="3">
        <v>103.8</v>
      </c>
      <c r="G265" s="4">
        <f t="shared" si="1"/>
        <v>0.3029272228</v>
      </c>
      <c r="H265" s="4">
        <f t="shared" si="2"/>
        <v>0.8917295314</v>
      </c>
    </row>
    <row r="266">
      <c r="A266" s="3">
        <v>265.0</v>
      </c>
      <c r="B266" s="3" t="s">
        <v>105</v>
      </c>
      <c r="C266" s="3" t="s">
        <v>515</v>
      </c>
      <c r="D266" s="3">
        <v>-8.36</v>
      </c>
      <c r="E266" s="3">
        <v>106.7</v>
      </c>
      <c r="F266" s="3">
        <v>115.1</v>
      </c>
      <c r="G266" s="4">
        <f t="shared" si="1"/>
        <v>0.3191237584</v>
      </c>
      <c r="H266" s="4">
        <f t="shared" si="2"/>
        <v>0.884211883</v>
      </c>
      <c r="I266" s="12">
        <f>2*(1-H364)-11.9790233133999</f>
        <v>-11.94941342</v>
      </c>
    </row>
    <row r="267">
      <c r="A267" s="3">
        <v>266.0</v>
      </c>
      <c r="B267" s="3" t="s">
        <v>448</v>
      </c>
      <c r="D267" s="3">
        <v>-8.38</v>
      </c>
      <c r="E267" s="3">
        <v>98.1</v>
      </c>
      <c r="F267" s="3">
        <v>106.4</v>
      </c>
      <c r="G267" s="4">
        <f t="shared" si="1"/>
        <v>0.3074256977</v>
      </c>
      <c r="H267" s="4">
        <f t="shared" si="2"/>
        <v>0.8896641667</v>
      </c>
    </row>
    <row r="268">
      <c r="A268" s="3">
        <v>267.0</v>
      </c>
      <c r="B268" s="3" t="s">
        <v>422</v>
      </c>
      <c r="D268" s="3">
        <v>-8.49</v>
      </c>
      <c r="E268" s="3">
        <v>102.7</v>
      </c>
      <c r="F268" s="3">
        <v>111.2</v>
      </c>
      <c r="G268" s="4">
        <f t="shared" si="1"/>
        <v>0.3110569389</v>
      </c>
      <c r="H268" s="4">
        <f t="shared" si="2"/>
        <v>0.8879843825</v>
      </c>
    </row>
    <row r="269">
      <c r="A269" s="3">
        <v>268.0</v>
      </c>
      <c r="B269" s="3" t="s">
        <v>566</v>
      </c>
      <c r="D269" s="3">
        <v>-8.54</v>
      </c>
      <c r="E269" s="3">
        <v>103.3</v>
      </c>
      <c r="F269" s="3">
        <v>111.9</v>
      </c>
      <c r="G269" s="4">
        <f t="shared" si="1"/>
        <v>0.3100934624</v>
      </c>
      <c r="H269" s="4">
        <f t="shared" si="2"/>
        <v>0.8884311827</v>
      </c>
    </row>
    <row r="270">
      <c r="A270" s="3">
        <v>269.0</v>
      </c>
      <c r="B270" s="3" t="s">
        <v>389</v>
      </c>
      <c r="D270" s="3">
        <v>-8.54</v>
      </c>
      <c r="E270" s="3">
        <v>103.0</v>
      </c>
      <c r="F270" s="3">
        <v>111.5</v>
      </c>
      <c r="G270" s="4">
        <f t="shared" si="1"/>
        <v>0.3115343058</v>
      </c>
      <c r="H270" s="4">
        <f t="shared" si="2"/>
        <v>0.8877627132</v>
      </c>
    </row>
    <row r="271">
      <c r="A271" s="3">
        <v>270.0</v>
      </c>
      <c r="B271" s="3" t="s">
        <v>292</v>
      </c>
      <c r="D271" s="3">
        <v>-8.54</v>
      </c>
      <c r="E271" s="3">
        <v>97.4</v>
      </c>
      <c r="F271" s="3">
        <v>105.9</v>
      </c>
      <c r="G271" s="4">
        <f t="shared" si="1"/>
        <v>0.3022322774</v>
      </c>
      <c r="H271" s="4">
        <f t="shared" si="2"/>
        <v>0.892047072</v>
      </c>
    </row>
    <row r="272">
      <c r="A272" s="3">
        <v>271.0</v>
      </c>
      <c r="B272" s="3" t="s">
        <v>567</v>
      </c>
      <c r="D272" s="3">
        <v>-8.72</v>
      </c>
      <c r="E272" s="3">
        <v>93.9</v>
      </c>
      <c r="F272" s="3">
        <v>102.6</v>
      </c>
      <c r="G272" s="4">
        <f t="shared" si="1"/>
        <v>0.2919203771</v>
      </c>
      <c r="H272" s="4">
        <f t="shared" si="2"/>
        <v>0.896711549</v>
      </c>
    </row>
    <row r="273">
      <c r="A273" s="3">
        <v>272.0</v>
      </c>
      <c r="B273" s="3" t="s">
        <v>140</v>
      </c>
      <c r="D273" s="3">
        <v>-8.87</v>
      </c>
      <c r="E273" s="3">
        <v>103.4</v>
      </c>
      <c r="F273" s="3">
        <v>112.3</v>
      </c>
      <c r="G273" s="4">
        <f t="shared" si="1"/>
        <v>0.30455738</v>
      </c>
      <c r="H273" s="4">
        <f t="shared" si="2"/>
        <v>0.8909830666</v>
      </c>
    </row>
    <row r="274">
      <c r="A274" s="3">
        <v>273.0</v>
      </c>
      <c r="B274" s="3" t="s">
        <v>568</v>
      </c>
      <c r="D274" s="3">
        <v>-8.93</v>
      </c>
      <c r="E274" s="3">
        <v>101.7</v>
      </c>
      <c r="F274" s="3">
        <v>110.6</v>
      </c>
      <c r="G274" s="4">
        <f t="shared" si="1"/>
        <v>0.301760637</v>
      </c>
      <c r="H274" s="4">
        <f t="shared" si="2"/>
        <v>0.8922623466</v>
      </c>
    </row>
    <row r="275">
      <c r="A275" s="3">
        <v>274.0</v>
      </c>
      <c r="B275" s="3" t="s">
        <v>447</v>
      </c>
      <c r="D275" s="3">
        <v>-9.02</v>
      </c>
      <c r="E275" s="3">
        <v>100.8</v>
      </c>
      <c r="F275" s="3">
        <v>109.8</v>
      </c>
      <c r="G275" s="4">
        <f t="shared" si="1"/>
        <v>0.2983386281</v>
      </c>
      <c r="H275" s="4">
        <f t="shared" si="2"/>
        <v>0.893818699</v>
      </c>
    </row>
    <row r="276">
      <c r="A276" s="3">
        <v>275.0</v>
      </c>
      <c r="B276" s="3" t="s">
        <v>369</v>
      </c>
      <c r="D276" s="3">
        <v>-9.02</v>
      </c>
      <c r="E276" s="3">
        <v>97.7</v>
      </c>
      <c r="F276" s="3">
        <v>106.8</v>
      </c>
      <c r="G276" s="4">
        <f t="shared" si="1"/>
        <v>0.2909935184</v>
      </c>
      <c r="H276" s="4">
        <f t="shared" si="2"/>
        <v>0.8971265072</v>
      </c>
    </row>
    <row r="277">
      <c r="A277" s="3">
        <v>276.0</v>
      </c>
      <c r="B277" s="3" t="s">
        <v>299</v>
      </c>
      <c r="D277" s="3">
        <v>-9.03</v>
      </c>
      <c r="E277" s="3">
        <v>101.6</v>
      </c>
      <c r="F277" s="3">
        <v>110.6</v>
      </c>
      <c r="G277" s="4">
        <f t="shared" si="1"/>
        <v>0.2996918779</v>
      </c>
      <c r="H277" s="4">
        <f t="shared" si="2"/>
        <v>0.8932044023</v>
      </c>
    </row>
    <row r="278">
      <c r="A278" s="3">
        <v>277.0</v>
      </c>
      <c r="B278" s="3" t="s">
        <v>384</v>
      </c>
      <c r="D278" s="3">
        <v>-9.08</v>
      </c>
      <c r="E278" s="3">
        <v>99.1</v>
      </c>
      <c r="F278" s="3">
        <v>108.2</v>
      </c>
      <c r="G278" s="4">
        <f t="shared" si="1"/>
        <v>0.2934847205</v>
      </c>
      <c r="H278" s="4">
        <f t="shared" si="2"/>
        <v>0.896009592</v>
      </c>
    </row>
    <row r="279">
      <c r="A279" s="3">
        <v>278.0</v>
      </c>
      <c r="B279" s="3" t="s">
        <v>407</v>
      </c>
      <c r="D279" s="3">
        <v>-9.16</v>
      </c>
      <c r="E279" s="3">
        <v>102.3</v>
      </c>
      <c r="F279" s="3">
        <v>111.5</v>
      </c>
      <c r="G279" s="4">
        <f t="shared" si="1"/>
        <v>0.2970993051</v>
      </c>
      <c r="H279" s="4">
        <f t="shared" si="2"/>
        <v>0.8943799423</v>
      </c>
    </row>
    <row r="280">
      <c r="A280" s="3">
        <v>279.0</v>
      </c>
      <c r="B280" s="3" t="s">
        <v>402</v>
      </c>
      <c r="D280" s="3">
        <v>-9.17</v>
      </c>
      <c r="E280" s="3">
        <v>96.9</v>
      </c>
      <c r="F280" s="3">
        <v>106.0</v>
      </c>
      <c r="G280" s="4">
        <f t="shared" si="1"/>
        <v>0.2895448215</v>
      </c>
      <c r="H280" s="4">
        <f t="shared" si="2"/>
        <v>0.8977736914</v>
      </c>
    </row>
    <row r="281">
      <c r="A281" s="3">
        <v>280.0</v>
      </c>
      <c r="B281" s="3" t="s">
        <v>414</v>
      </c>
      <c r="D281" s="3">
        <v>-9.18</v>
      </c>
      <c r="E281" s="3">
        <v>95.9</v>
      </c>
      <c r="F281" s="3">
        <v>105.1</v>
      </c>
      <c r="G281" s="4">
        <f t="shared" si="1"/>
        <v>0.2857607721</v>
      </c>
      <c r="H281" s="4">
        <f t="shared" si="2"/>
        <v>0.8994561329</v>
      </c>
    </row>
    <row r="282">
      <c r="A282" s="3">
        <v>281.0</v>
      </c>
      <c r="B282" s="3" t="s">
        <v>23</v>
      </c>
      <c r="D282" s="3">
        <v>-9.28</v>
      </c>
      <c r="E282" s="3">
        <v>97.8</v>
      </c>
      <c r="F282" s="3">
        <v>107.1</v>
      </c>
      <c r="G282" s="4">
        <f t="shared" si="1"/>
        <v>0.2873306338</v>
      </c>
      <c r="H282" s="4">
        <f t="shared" si="2"/>
        <v>0.8987595548</v>
      </c>
    </row>
    <row r="283">
      <c r="A283" s="3">
        <v>282.0</v>
      </c>
      <c r="B283" s="3" t="s">
        <v>569</v>
      </c>
      <c r="D283" s="3">
        <v>-9.34</v>
      </c>
      <c r="E283" s="3">
        <v>97.7</v>
      </c>
      <c r="F283" s="3">
        <v>107.0</v>
      </c>
      <c r="G283" s="4">
        <f t="shared" si="1"/>
        <v>0.2871486773</v>
      </c>
      <c r="H283" s="4">
        <f t="shared" si="2"/>
        <v>0.8988403943</v>
      </c>
    </row>
    <row r="284">
      <c r="A284" s="3">
        <v>283.0</v>
      </c>
      <c r="B284" s="3" t="s">
        <v>416</v>
      </c>
      <c r="D284" s="3">
        <v>-9.35</v>
      </c>
      <c r="E284" s="3">
        <v>97.8</v>
      </c>
      <c r="F284" s="3">
        <v>107.2</v>
      </c>
      <c r="G284" s="4">
        <f t="shared" si="1"/>
        <v>0.2854233575</v>
      </c>
      <c r="H284" s="4">
        <f t="shared" si="2"/>
        <v>0.8996055912</v>
      </c>
    </row>
    <row r="285">
      <c r="A285" s="3">
        <v>284.0</v>
      </c>
      <c r="B285" s="3" t="s">
        <v>399</v>
      </c>
      <c r="D285" s="3">
        <v>-9.36</v>
      </c>
      <c r="E285" s="3">
        <v>97.4</v>
      </c>
      <c r="F285" s="3">
        <v>106.7</v>
      </c>
      <c r="G285" s="4">
        <f t="shared" si="1"/>
        <v>0.2866010797</v>
      </c>
      <c r="H285" s="4">
        <f t="shared" si="2"/>
        <v>0.8990835191</v>
      </c>
    </row>
    <row r="286">
      <c r="A286" s="3">
        <v>285.0</v>
      </c>
      <c r="B286" s="3" t="s">
        <v>478</v>
      </c>
      <c r="D286" s="3">
        <v>-9.43</v>
      </c>
      <c r="E286" s="3">
        <v>102.6</v>
      </c>
      <c r="F286" s="3">
        <v>112.0</v>
      </c>
      <c r="G286" s="4">
        <f t="shared" si="1"/>
        <v>0.2938808899</v>
      </c>
      <c r="H286" s="4">
        <f t="shared" si="2"/>
        <v>0.895831503</v>
      </c>
    </row>
    <row r="287">
      <c r="A287" s="3">
        <v>286.0</v>
      </c>
      <c r="B287" s="3" t="s">
        <v>570</v>
      </c>
      <c r="D287" s="3">
        <v>-9.56</v>
      </c>
      <c r="E287" s="3">
        <v>103.3</v>
      </c>
      <c r="F287" s="3">
        <v>112.9</v>
      </c>
      <c r="G287" s="4">
        <f t="shared" si="1"/>
        <v>0.2913883024</v>
      </c>
      <c r="H287" s="4">
        <f t="shared" si="2"/>
        <v>0.8969498467</v>
      </c>
    </row>
    <row r="288">
      <c r="A288" s="3">
        <v>287.0</v>
      </c>
      <c r="B288" s="3" t="s">
        <v>571</v>
      </c>
      <c r="D288" s="3">
        <v>-9.63</v>
      </c>
      <c r="E288" s="3">
        <v>100.0</v>
      </c>
      <c r="F288" s="3">
        <v>109.7</v>
      </c>
      <c r="G288" s="4">
        <f t="shared" si="1"/>
        <v>0.2837792438</v>
      </c>
      <c r="H288" s="4">
        <f t="shared" si="2"/>
        <v>0.9003325469</v>
      </c>
    </row>
    <row r="289">
      <c r="A289" s="3">
        <v>288.0</v>
      </c>
      <c r="B289" s="3" t="s">
        <v>482</v>
      </c>
      <c r="D289" s="3">
        <v>-9.73</v>
      </c>
      <c r="E289" s="3">
        <v>101.4</v>
      </c>
      <c r="F289" s="3">
        <v>111.1</v>
      </c>
      <c r="G289" s="4">
        <f t="shared" si="1"/>
        <v>0.2862686236</v>
      </c>
      <c r="H289" s="4">
        <f t="shared" si="2"/>
        <v>0.8992310066</v>
      </c>
    </row>
    <row r="290">
      <c r="A290" s="3">
        <v>289.0</v>
      </c>
      <c r="B290" s="3" t="s">
        <v>572</v>
      </c>
      <c r="D290" s="3">
        <v>-9.74</v>
      </c>
      <c r="E290" s="3">
        <v>100.2</v>
      </c>
      <c r="F290" s="3">
        <v>109.9</v>
      </c>
      <c r="G290" s="4">
        <f t="shared" si="1"/>
        <v>0.2841381318</v>
      </c>
      <c r="H290" s="4">
        <f t="shared" si="2"/>
        <v>0.900174047</v>
      </c>
    </row>
    <row r="291">
      <c r="A291" s="3">
        <v>290.0</v>
      </c>
      <c r="B291" s="3" t="s">
        <v>152</v>
      </c>
      <c r="D291" s="3">
        <v>-9.85</v>
      </c>
      <c r="E291" s="3">
        <v>101.5</v>
      </c>
      <c r="F291" s="3">
        <v>111.3</v>
      </c>
      <c r="G291" s="4">
        <f t="shared" si="1"/>
        <v>0.2846106981</v>
      </c>
      <c r="H291" s="4">
        <f t="shared" si="2"/>
        <v>0.8999651848</v>
      </c>
    </row>
    <row r="292">
      <c r="A292" s="3">
        <v>291.0</v>
      </c>
      <c r="B292" s="3" t="s">
        <v>573</v>
      </c>
      <c r="D292" s="3">
        <v>-10.06</v>
      </c>
      <c r="E292" s="3">
        <v>100.9</v>
      </c>
      <c r="F292" s="3">
        <v>111.0</v>
      </c>
      <c r="G292" s="4">
        <f t="shared" si="1"/>
        <v>0.2780805516</v>
      </c>
      <c r="H292" s="4">
        <f t="shared" si="2"/>
        <v>0.9028355873</v>
      </c>
    </row>
    <row r="293">
      <c r="A293" s="3">
        <v>292.0</v>
      </c>
      <c r="B293" s="3" t="s">
        <v>451</v>
      </c>
      <c r="D293" s="3">
        <v>-10.36</v>
      </c>
      <c r="E293" s="3">
        <v>98.0</v>
      </c>
      <c r="F293" s="3">
        <v>108.3</v>
      </c>
      <c r="G293" s="4">
        <f t="shared" si="1"/>
        <v>0.2690639767</v>
      </c>
      <c r="H293" s="4">
        <f t="shared" si="2"/>
        <v>0.9067438474</v>
      </c>
    </row>
    <row r="294">
      <c r="A294" s="3">
        <v>293.0</v>
      </c>
      <c r="B294" s="3" t="s">
        <v>574</v>
      </c>
      <c r="D294" s="3">
        <v>-10.47</v>
      </c>
      <c r="E294" s="3">
        <v>102.9</v>
      </c>
      <c r="F294" s="3">
        <v>113.3</v>
      </c>
      <c r="G294" s="4">
        <f t="shared" si="1"/>
        <v>0.2763148887</v>
      </c>
      <c r="H294" s="4">
        <f t="shared" si="2"/>
        <v>0.903605912</v>
      </c>
    </row>
    <row r="295">
      <c r="A295" s="3">
        <v>294.0</v>
      </c>
      <c r="B295" s="3" t="s">
        <v>489</v>
      </c>
      <c r="D295" s="3">
        <v>-10.48</v>
      </c>
      <c r="E295" s="3">
        <v>93.9</v>
      </c>
      <c r="F295" s="3">
        <v>104.3</v>
      </c>
      <c r="G295" s="4">
        <f t="shared" si="1"/>
        <v>0.2591464238</v>
      </c>
      <c r="H295" s="4">
        <f t="shared" si="2"/>
        <v>0.910970518</v>
      </c>
    </row>
    <row r="296">
      <c r="A296" s="3">
        <v>295.0</v>
      </c>
      <c r="B296" s="3" t="s">
        <v>575</v>
      </c>
      <c r="D296" s="3">
        <v>-10.54</v>
      </c>
      <c r="E296" s="3">
        <v>94.8</v>
      </c>
      <c r="F296" s="3">
        <v>105.3</v>
      </c>
      <c r="G296" s="4">
        <f t="shared" si="1"/>
        <v>0.2591405987</v>
      </c>
      <c r="H296" s="4">
        <f t="shared" si="2"/>
        <v>0.9109729787</v>
      </c>
    </row>
    <row r="297">
      <c r="A297" s="3">
        <v>296.0</v>
      </c>
      <c r="B297" s="3" t="s">
        <v>463</v>
      </c>
      <c r="D297" s="3">
        <v>-10.54</v>
      </c>
      <c r="E297" s="3">
        <v>104.0</v>
      </c>
      <c r="F297" s="3">
        <v>114.6</v>
      </c>
      <c r="G297" s="4">
        <f t="shared" si="1"/>
        <v>0.2747670927</v>
      </c>
      <c r="H297" s="4">
        <f t="shared" si="2"/>
        <v>0.9042791752</v>
      </c>
    </row>
    <row r="298">
      <c r="A298" s="3">
        <v>297.0</v>
      </c>
      <c r="B298" s="3" t="s">
        <v>472</v>
      </c>
      <c r="D298" s="3">
        <v>-10.59</v>
      </c>
      <c r="E298" s="3">
        <v>102.9</v>
      </c>
      <c r="F298" s="3">
        <v>113.5</v>
      </c>
      <c r="G298" s="4">
        <f t="shared" si="1"/>
        <v>0.2728021179</v>
      </c>
      <c r="H298" s="4">
        <f t="shared" si="2"/>
        <v>0.9051312105</v>
      </c>
    </row>
    <row r="299">
      <c r="A299" s="3">
        <v>298.0</v>
      </c>
      <c r="B299" s="3" t="s">
        <v>420</v>
      </c>
      <c r="D299" s="3">
        <v>-10.87</v>
      </c>
      <c r="E299" s="3">
        <v>100.3</v>
      </c>
      <c r="F299" s="3">
        <v>111.2</v>
      </c>
      <c r="G299" s="4">
        <f t="shared" si="1"/>
        <v>0.262764949</v>
      </c>
      <c r="H299" s="4">
        <f t="shared" si="2"/>
        <v>0.9094370071</v>
      </c>
    </row>
    <row r="300">
      <c r="A300" s="3">
        <v>299.0</v>
      </c>
      <c r="B300" s="3" t="s">
        <v>167</v>
      </c>
      <c r="D300" s="3">
        <v>-10.9</v>
      </c>
      <c r="E300" s="3">
        <v>100.1</v>
      </c>
      <c r="F300" s="3">
        <v>111.0</v>
      </c>
      <c r="G300" s="4">
        <f t="shared" si="1"/>
        <v>0.2623857679</v>
      </c>
      <c r="H300" s="4">
        <f t="shared" si="2"/>
        <v>0.9095981645</v>
      </c>
    </row>
    <row r="301">
      <c r="A301" s="3">
        <v>300.0</v>
      </c>
      <c r="B301" s="3" t="s">
        <v>471</v>
      </c>
      <c r="D301" s="3">
        <v>-10.93</v>
      </c>
      <c r="E301" s="3">
        <v>102.5</v>
      </c>
      <c r="F301" s="3">
        <v>113.4</v>
      </c>
      <c r="G301" s="4">
        <f t="shared" si="1"/>
        <v>0.2668651995</v>
      </c>
      <c r="H301" s="4">
        <f t="shared" si="2"/>
        <v>0.9076873772</v>
      </c>
    </row>
    <row r="302">
      <c r="A302" s="3">
        <v>301.0</v>
      </c>
      <c r="B302" s="3" t="s">
        <v>576</v>
      </c>
      <c r="D302" s="3">
        <v>-10.98</v>
      </c>
      <c r="E302" s="3">
        <v>97.7</v>
      </c>
      <c r="F302" s="3">
        <v>108.6</v>
      </c>
      <c r="G302" s="4">
        <f t="shared" si="1"/>
        <v>0.2577495229</v>
      </c>
      <c r="H302" s="4">
        <f t="shared" si="2"/>
        <v>0.9115598892</v>
      </c>
    </row>
    <row r="303">
      <c r="A303" s="3">
        <v>302.0</v>
      </c>
      <c r="B303" s="3" t="s">
        <v>465</v>
      </c>
      <c r="D303" s="3">
        <v>-11.06</v>
      </c>
      <c r="E303" s="3">
        <v>105.3</v>
      </c>
      <c r="F303" s="3">
        <v>116.3</v>
      </c>
      <c r="G303" s="4">
        <f t="shared" si="1"/>
        <v>0.2702023061</v>
      </c>
      <c r="H303" s="4">
        <f t="shared" si="2"/>
        <v>0.9062539137</v>
      </c>
    </row>
    <row r="304">
      <c r="A304" s="3">
        <v>303.0</v>
      </c>
      <c r="B304" s="3" t="s">
        <v>428</v>
      </c>
      <c r="D304" s="3">
        <v>-11.12</v>
      </c>
      <c r="E304" s="3">
        <v>98.9</v>
      </c>
      <c r="F304" s="3">
        <v>110.0</v>
      </c>
      <c r="G304" s="4">
        <f t="shared" si="1"/>
        <v>0.2566008649</v>
      </c>
      <c r="H304" s="4">
        <f t="shared" si="2"/>
        <v>0.9120434328</v>
      </c>
    </row>
    <row r="305">
      <c r="A305" s="3">
        <v>304.0</v>
      </c>
      <c r="B305" s="3" t="s">
        <v>577</v>
      </c>
      <c r="D305" s="3">
        <v>-11.14</v>
      </c>
      <c r="E305" s="3">
        <v>98.9</v>
      </c>
      <c r="F305" s="3">
        <v>110.1</v>
      </c>
      <c r="G305" s="4">
        <f t="shared" si="1"/>
        <v>0.2548713365</v>
      </c>
      <c r="H305" s="4">
        <f t="shared" si="2"/>
        <v>0.9127696521</v>
      </c>
    </row>
    <row r="306">
      <c r="A306" s="3">
        <v>305.0</v>
      </c>
      <c r="B306" s="3" t="s">
        <v>74</v>
      </c>
      <c r="D306" s="3">
        <v>-11.16</v>
      </c>
      <c r="E306" s="3">
        <v>95.4</v>
      </c>
      <c r="F306" s="3">
        <v>106.6</v>
      </c>
      <c r="G306" s="4">
        <f t="shared" si="1"/>
        <v>0.2478616915</v>
      </c>
      <c r="H306" s="4">
        <f t="shared" si="2"/>
        <v>0.9156903967</v>
      </c>
    </row>
    <row r="307">
      <c r="A307" s="3">
        <v>306.0</v>
      </c>
      <c r="B307" s="3" t="s">
        <v>487</v>
      </c>
      <c r="D307" s="3">
        <v>-11.2</v>
      </c>
      <c r="E307" s="3">
        <v>97.5</v>
      </c>
      <c r="F307" s="3">
        <v>108.7</v>
      </c>
      <c r="G307" s="4">
        <f t="shared" si="1"/>
        <v>0.2521092924</v>
      </c>
      <c r="H307" s="4">
        <f t="shared" si="2"/>
        <v>0.9139248318</v>
      </c>
    </row>
    <row r="308">
      <c r="A308" s="3">
        <v>307.0</v>
      </c>
      <c r="B308" s="3" t="s">
        <v>578</v>
      </c>
      <c r="D308" s="3">
        <v>-11.3</v>
      </c>
      <c r="E308" s="3">
        <v>101.1</v>
      </c>
      <c r="F308" s="3">
        <v>112.4</v>
      </c>
      <c r="G308" s="4">
        <f t="shared" si="1"/>
        <v>0.2573977315</v>
      </c>
      <c r="H308" s="4">
        <f t="shared" si="2"/>
        <v>0.9117080851</v>
      </c>
    </row>
    <row r="309">
      <c r="A309" s="3">
        <v>308.0</v>
      </c>
      <c r="B309" s="3" t="s">
        <v>54</v>
      </c>
      <c r="D309" s="3">
        <v>-11.32</v>
      </c>
      <c r="E309" s="3">
        <v>96.9</v>
      </c>
      <c r="F309" s="3">
        <v>108.2</v>
      </c>
      <c r="G309" s="4">
        <f t="shared" si="1"/>
        <v>0.2491747504</v>
      </c>
      <c r="H309" s="4">
        <f t="shared" si="2"/>
        <v>0.9151460152</v>
      </c>
    </row>
    <row r="310">
      <c r="A310" s="3">
        <v>309.0</v>
      </c>
      <c r="B310" s="3" t="s">
        <v>366</v>
      </c>
      <c r="D310" s="3">
        <v>-11.41</v>
      </c>
      <c r="E310" s="3">
        <v>89.9</v>
      </c>
      <c r="F310" s="3">
        <v>101.3</v>
      </c>
      <c r="G310" s="4">
        <f t="shared" si="1"/>
        <v>0.2325648807</v>
      </c>
      <c r="H310" s="4">
        <f t="shared" si="2"/>
        <v>0.9219411167</v>
      </c>
    </row>
    <row r="311">
      <c r="A311" s="3">
        <v>310.0</v>
      </c>
      <c r="B311" s="3" t="s">
        <v>403</v>
      </c>
      <c r="D311" s="3">
        <v>-11.57</v>
      </c>
      <c r="E311" s="3">
        <v>97.8</v>
      </c>
      <c r="F311" s="3">
        <v>109.3</v>
      </c>
      <c r="G311" s="4">
        <f t="shared" si="1"/>
        <v>0.2475507052</v>
      </c>
      <c r="H311" s="4">
        <f t="shared" si="2"/>
        <v>0.915819145</v>
      </c>
    </row>
    <row r="312">
      <c r="A312" s="3">
        <v>311.0</v>
      </c>
      <c r="B312" s="3" t="s">
        <v>435</v>
      </c>
      <c r="D312" s="3">
        <v>-11.61</v>
      </c>
      <c r="E312" s="3">
        <v>98.6</v>
      </c>
      <c r="F312" s="3">
        <v>110.2</v>
      </c>
      <c r="G312" s="4">
        <f t="shared" si="1"/>
        <v>0.2474504743</v>
      </c>
      <c r="H312" s="4">
        <f t="shared" si="2"/>
        <v>0.9158606256</v>
      </c>
    </row>
    <row r="313">
      <c r="A313" s="3">
        <v>312.0</v>
      </c>
      <c r="B313" s="3" t="s">
        <v>474</v>
      </c>
      <c r="D313" s="3">
        <v>-11.62</v>
      </c>
      <c r="E313" s="3">
        <v>96.4</v>
      </c>
      <c r="F313" s="3">
        <v>108.0</v>
      </c>
      <c r="G313" s="4">
        <f t="shared" si="1"/>
        <v>0.2430094837</v>
      </c>
      <c r="H313" s="4">
        <f t="shared" si="2"/>
        <v>0.9176912404</v>
      </c>
    </row>
    <row r="314">
      <c r="A314" s="3">
        <v>313.0</v>
      </c>
      <c r="B314" s="3" t="s">
        <v>131</v>
      </c>
      <c r="D314" s="3">
        <v>-11.85</v>
      </c>
      <c r="E314" s="3">
        <v>94.0</v>
      </c>
      <c r="F314" s="3">
        <v>105.9</v>
      </c>
      <c r="G314" s="4">
        <f t="shared" si="1"/>
        <v>0.2329005879</v>
      </c>
      <c r="H314" s="4">
        <f t="shared" si="2"/>
        <v>0.9218057142</v>
      </c>
    </row>
    <row r="315">
      <c r="A315" s="3">
        <v>314.0</v>
      </c>
      <c r="B315" s="3" t="s">
        <v>579</v>
      </c>
      <c r="D315" s="3">
        <v>-12.15</v>
      </c>
      <c r="E315" s="3">
        <v>95.9</v>
      </c>
      <c r="F315" s="3">
        <v>108.1</v>
      </c>
      <c r="G315" s="4">
        <f t="shared" si="1"/>
        <v>0.231918928</v>
      </c>
      <c r="H315" s="4">
        <f t="shared" si="2"/>
        <v>0.9222014308</v>
      </c>
    </row>
    <row r="316">
      <c r="A316" s="3">
        <v>315.0</v>
      </c>
      <c r="B316" s="3" t="s">
        <v>580</v>
      </c>
      <c r="D316" s="3">
        <v>-12.2</v>
      </c>
      <c r="E316" s="3">
        <v>94.4</v>
      </c>
      <c r="F316" s="3">
        <v>106.6</v>
      </c>
      <c r="G316" s="4">
        <f t="shared" si="1"/>
        <v>0.2287426759</v>
      </c>
      <c r="H316" s="4">
        <f t="shared" si="2"/>
        <v>0.9234772151</v>
      </c>
    </row>
    <row r="317">
      <c r="A317" s="3">
        <v>316.0</v>
      </c>
      <c r="B317" s="3" t="s">
        <v>340</v>
      </c>
      <c r="D317" s="3">
        <v>-12.45</v>
      </c>
      <c r="E317" s="3">
        <v>98.8</v>
      </c>
      <c r="F317" s="3">
        <v>111.2</v>
      </c>
      <c r="G317" s="4">
        <f t="shared" si="1"/>
        <v>0.234633915</v>
      </c>
      <c r="H317" s="4">
        <f t="shared" si="2"/>
        <v>0.9211053482</v>
      </c>
    </row>
    <row r="318">
      <c r="A318" s="3">
        <v>317.0</v>
      </c>
      <c r="B318" s="3" t="s">
        <v>476</v>
      </c>
      <c r="D318" s="3">
        <v>-12.8</v>
      </c>
      <c r="E318" s="3">
        <v>101.4</v>
      </c>
      <c r="F318" s="3">
        <v>114.2</v>
      </c>
      <c r="G318" s="4">
        <f t="shared" si="1"/>
        <v>0.233476834</v>
      </c>
      <c r="H318" s="4">
        <f t="shared" si="2"/>
        <v>0.9215731104</v>
      </c>
    </row>
    <row r="319">
      <c r="A319" s="3">
        <v>318.0</v>
      </c>
      <c r="B319" s="3" t="s">
        <v>159</v>
      </c>
      <c r="D319" s="3">
        <v>-12.96</v>
      </c>
      <c r="E319" s="3">
        <v>100.0</v>
      </c>
      <c r="F319" s="3">
        <v>113.0</v>
      </c>
      <c r="G319" s="4">
        <f t="shared" si="1"/>
        <v>0.2275536842</v>
      </c>
      <c r="H319" s="4">
        <f t="shared" si="2"/>
        <v>0.9239529927</v>
      </c>
    </row>
    <row r="320">
      <c r="A320" s="3">
        <v>319.0</v>
      </c>
      <c r="B320" s="3" t="s">
        <v>496</v>
      </c>
      <c r="D320" s="3">
        <v>-13.02</v>
      </c>
      <c r="E320" s="3">
        <v>98.1</v>
      </c>
      <c r="F320" s="3">
        <v>111.1</v>
      </c>
      <c r="G320" s="4">
        <f t="shared" si="1"/>
        <v>0.2236652484</v>
      </c>
      <c r="H320" s="4">
        <f t="shared" si="2"/>
        <v>0.9255021717</v>
      </c>
    </row>
    <row r="321">
      <c r="A321" s="3">
        <v>320.0</v>
      </c>
      <c r="B321" s="3" t="s">
        <v>469</v>
      </c>
      <c r="D321" s="3">
        <v>-13.03</v>
      </c>
      <c r="E321" s="3">
        <v>99.7</v>
      </c>
      <c r="F321" s="3">
        <v>112.7</v>
      </c>
      <c r="G321" s="4">
        <f t="shared" si="1"/>
        <v>0.2269458876</v>
      </c>
      <c r="H321" s="4">
        <f t="shared" si="2"/>
        <v>0.9241958273</v>
      </c>
    </row>
    <row r="322">
      <c r="A322" s="3">
        <v>321.0</v>
      </c>
      <c r="B322" s="3" t="s">
        <v>348</v>
      </c>
      <c r="D322" s="3">
        <v>-13.42</v>
      </c>
      <c r="E322" s="3">
        <v>101.9</v>
      </c>
      <c r="F322" s="3">
        <v>115.4</v>
      </c>
      <c r="G322" s="4">
        <f t="shared" si="1"/>
        <v>0.2237189357</v>
      </c>
      <c r="H322" s="4">
        <f t="shared" si="2"/>
        <v>0.9254808528</v>
      </c>
    </row>
    <row r="323">
      <c r="A323" s="3">
        <v>322.0</v>
      </c>
      <c r="B323" s="3" t="s">
        <v>581</v>
      </c>
      <c r="D323" s="3">
        <v>-13.71</v>
      </c>
      <c r="E323" s="3">
        <v>94.2</v>
      </c>
      <c r="F323" s="3">
        <v>107.9</v>
      </c>
      <c r="G323" s="4">
        <f t="shared" si="1"/>
        <v>0.2045904592</v>
      </c>
      <c r="H323" s="4">
        <f t="shared" si="2"/>
        <v>0.9329541979</v>
      </c>
    </row>
    <row r="324">
      <c r="A324" s="3">
        <v>323.0</v>
      </c>
      <c r="B324" s="3" t="s">
        <v>456</v>
      </c>
      <c r="D324" s="3">
        <v>-13.8</v>
      </c>
      <c r="E324" s="3">
        <v>102.5</v>
      </c>
      <c r="F324" s="3">
        <v>116.3</v>
      </c>
      <c r="G324" s="4">
        <f t="shared" si="1"/>
        <v>0.2204402577</v>
      </c>
      <c r="H324" s="4">
        <f t="shared" si="2"/>
        <v>0.9267791998</v>
      </c>
    </row>
    <row r="325">
      <c r="A325" s="3">
        <v>324.0</v>
      </c>
      <c r="B325" s="3" t="s">
        <v>398</v>
      </c>
      <c r="D325" s="3">
        <v>-13.81</v>
      </c>
      <c r="E325" s="3">
        <v>97.0</v>
      </c>
      <c r="F325" s="3">
        <v>110.8</v>
      </c>
      <c r="G325" s="4">
        <f t="shared" si="1"/>
        <v>0.2091332383</v>
      </c>
      <c r="H325" s="4">
        <f t="shared" si="2"/>
        <v>0.9312013344</v>
      </c>
    </row>
    <row r="326">
      <c r="A326" s="3">
        <v>325.0</v>
      </c>
      <c r="B326" s="3" t="s">
        <v>582</v>
      </c>
      <c r="D326" s="3">
        <v>-13.86</v>
      </c>
      <c r="E326" s="3">
        <v>98.7</v>
      </c>
      <c r="F326" s="3">
        <v>112.6</v>
      </c>
      <c r="G326" s="4">
        <f t="shared" si="1"/>
        <v>0.2112232507</v>
      </c>
      <c r="H326" s="4">
        <f t="shared" si="2"/>
        <v>0.9303903418</v>
      </c>
    </row>
    <row r="327">
      <c r="A327" s="3">
        <v>326.0</v>
      </c>
      <c r="B327" s="3" t="s">
        <v>444</v>
      </c>
      <c r="D327" s="3">
        <v>-13.87</v>
      </c>
      <c r="E327" s="3">
        <v>96.7</v>
      </c>
      <c r="F327" s="3">
        <v>110.6</v>
      </c>
      <c r="G327" s="4">
        <f t="shared" si="1"/>
        <v>0.2070061659</v>
      </c>
      <c r="H327" s="4">
        <f t="shared" si="2"/>
        <v>0.9320237596</v>
      </c>
    </row>
    <row r="328">
      <c r="A328" s="3">
        <v>327.0</v>
      </c>
      <c r="B328" s="3" t="s">
        <v>408</v>
      </c>
      <c r="D328" s="3">
        <v>-13.99</v>
      </c>
      <c r="E328" s="3">
        <v>97.9</v>
      </c>
      <c r="F328" s="3">
        <v>111.9</v>
      </c>
      <c r="G328" s="4">
        <f t="shared" si="1"/>
        <v>0.2080712827</v>
      </c>
      <c r="H328" s="4">
        <f t="shared" si="2"/>
        <v>0.9316123066</v>
      </c>
    </row>
    <row r="329">
      <c r="A329" s="3">
        <v>328.0</v>
      </c>
      <c r="B329" s="3" t="s">
        <v>327</v>
      </c>
      <c r="D329" s="3">
        <v>-14.22</v>
      </c>
      <c r="E329" s="3">
        <v>96.0</v>
      </c>
      <c r="F329" s="3">
        <v>110.2</v>
      </c>
      <c r="G329" s="4">
        <f t="shared" si="1"/>
        <v>0.201091394</v>
      </c>
      <c r="H329" s="4">
        <f t="shared" si="2"/>
        <v>0.9342951871</v>
      </c>
    </row>
    <row r="330">
      <c r="A330" s="3">
        <v>329.0</v>
      </c>
      <c r="B330" s="3" t="s">
        <v>583</v>
      </c>
      <c r="D330" s="3">
        <v>-14.48</v>
      </c>
      <c r="E330" s="3">
        <v>95.3</v>
      </c>
      <c r="F330" s="3">
        <v>109.7</v>
      </c>
      <c r="G330" s="4">
        <f t="shared" si="1"/>
        <v>0.196676766</v>
      </c>
      <c r="H330" s="4">
        <f t="shared" si="2"/>
        <v>0.9359758171</v>
      </c>
    </row>
    <row r="331">
      <c r="A331" s="3">
        <v>330.0</v>
      </c>
      <c r="B331" s="3" t="s">
        <v>485</v>
      </c>
      <c r="D331" s="3">
        <v>-14.49</v>
      </c>
      <c r="E331" s="3">
        <v>97.2</v>
      </c>
      <c r="F331" s="3">
        <v>111.7</v>
      </c>
      <c r="G331" s="4">
        <f t="shared" si="1"/>
        <v>0.1993343392</v>
      </c>
      <c r="H331" s="4">
        <f t="shared" si="2"/>
        <v>0.9349655862</v>
      </c>
    </row>
    <row r="332">
      <c r="A332" s="3">
        <v>331.0</v>
      </c>
      <c r="B332" s="3" t="s">
        <v>509</v>
      </c>
      <c r="D332" s="3">
        <v>-14.49</v>
      </c>
      <c r="E332" s="3">
        <v>95.0</v>
      </c>
      <c r="F332" s="3">
        <v>109.5</v>
      </c>
      <c r="G332" s="4">
        <f t="shared" si="1"/>
        <v>0.1945868823</v>
      </c>
      <c r="H332" s="4">
        <f t="shared" si="2"/>
        <v>0.9367670895</v>
      </c>
    </row>
    <row r="333">
      <c r="A333" s="3">
        <v>332.0</v>
      </c>
      <c r="B333" s="3" t="s">
        <v>492</v>
      </c>
      <c r="D333" s="3">
        <v>-15.06</v>
      </c>
      <c r="E333" s="3">
        <v>97.7</v>
      </c>
      <c r="F333" s="3">
        <v>112.8</v>
      </c>
      <c r="G333" s="4">
        <f t="shared" si="1"/>
        <v>0.1919874167</v>
      </c>
      <c r="H333" s="4">
        <f t="shared" si="2"/>
        <v>0.9377474402</v>
      </c>
    </row>
    <row r="334">
      <c r="A334" s="3">
        <v>333.0</v>
      </c>
      <c r="B334" s="3" t="s">
        <v>490</v>
      </c>
      <c r="D334" s="3">
        <v>-15.18</v>
      </c>
      <c r="E334" s="3">
        <v>98.4</v>
      </c>
      <c r="F334" s="3">
        <v>113.6</v>
      </c>
      <c r="G334" s="4">
        <f t="shared" si="1"/>
        <v>0.1920992545</v>
      </c>
      <c r="H334" s="4">
        <f t="shared" si="2"/>
        <v>0.9377053499</v>
      </c>
    </row>
    <row r="335">
      <c r="A335" s="3">
        <v>334.0</v>
      </c>
      <c r="B335" s="3" t="s">
        <v>429</v>
      </c>
      <c r="D335" s="3">
        <v>-15.5</v>
      </c>
      <c r="E335" s="3">
        <v>92.7</v>
      </c>
      <c r="F335" s="3">
        <v>108.2</v>
      </c>
      <c r="G335" s="4">
        <f t="shared" si="1"/>
        <v>0.1756460731</v>
      </c>
      <c r="H335" s="4">
        <f t="shared" si="2"/>
        <v>0.9438140342</v>
      </c>
    </row>
    <row r="336">
      <c r="A336" s="3">
        <v>335.0</v>
      </c>
      <c r="B336" s="3" t="s">
        <v>146</v>
      </c>
      <c r="D336" s="3">
        <v>-15.63</v>
      </c>
      <c r="E336" s="3">
        <v>98.6</v>
      </c>
      <c r="F336" s="3">
        <v>114.3</v>
      </c>
      <c r="G336" s="4">
        <f t="shared" si="1"/>
        <v>0.1857972948</v>
      </c>
      <c r="H336" s="4">
        <f t="shared" si="2"/>
        <v>0.9400648825</v>
      </c>
    </row>
    <row r="337">
      <c r="A337" s="3">
        <v>336.0</v>
      </c>
      <c r="B337" s="3" t="s">
        <v>584</v>
      </c>
      <c r="D337" s="3">
        <v>-15.72</v>
      </c>
      <c r="E337" s="3">
        <v>100.2</v>
      </c>
      <c r="F337" s="3">
        <v>115.9</v>
      </c>
      <c r="G337" s="4">
        <f t="shared" si="1"/>
        <v>0.1891418886</v>
      </c>
      <c r="H337" s="4">
        <f t="shared" si="2"/>
        <v>0.9388157146</v>
      </c>
    </row>
    <row r="338">
      <c r="A338" s="3">
        <v>337.0</v>
      </c>
      <c r="B338" s="3" t="s">
        <v>467</v>
      </c>
      <c r="D338" s="3">
        <v>-15.81</v>
      </c>
      <c r="E338" s="3">
        <v>96.7</v>
      </c>
      <c r="F338" s="3">
        <v>112.5</v>
      </c>
      <c r="G338" s="4">
        <f t="shared" si="1"/>
        <v>0.1804357272</v>
      </c>
      <c r="H338" s="4">
        <f t="shared" si="2"/>
        <v>0.9420529268</v>
      </c>
    </row>
    <row r="339">
      <c r="A339" s="3">
        <v>338.0</v>
      </c>
      <c r="B339" s="3" t="s">
        <v>585</v>
      </c>
      <c r="D339" s="3">
        <v>-15.94</v>
      </c>
      <c r="E339" s="3">
        <v>99.0</v>
      </c>
      <c r="F339" s="3">
        <v>114.9</v>
      </c>
      <c r="G339" s="4">
        <f t="shared" si="1"/>
        <v>0.1840082956</v>
      </c>
      <c r="H339" s="4">
        <f t="shared" si="2"/>
        <v>0.9407302039</v>
      </c>
    </row>
    <row r="340">
      <c r="A340" s="3">
        <v>339.0</v>
      </c>
      <c r="B340" s="3" t="s">
        <v>586</v>
      </c>
      <c r="D340" s="3">
        <v>-15.94</v>
      </c>
      <c r="E340" s="3">
        <v>97.4</v>
      </c>
      <c r="F340" s="3">
        <v>113.4</v>
      </c>
      <c r="G340" s="4">
        <f t="shared" si="1"/>
        <v>0.1793214038</v>
      </c>
      <c r="H340" s="4">
        <f t="shared" si="2"/>
        <v>0.9424638984</v>
      </c>
    </row>
    <row r="341">
      <c r="A341" s="3">
        <v>340.0</v>
      </c>
      <c r="B341" s="3" t="s">
        <v>495</v>
      </c>
      <c r="D341" s="3">
        <v>-16.02</v>
      </c>
      <c r="E341" s="3">
        <v>96.3</v>
      </c>
      <c r="F341" s="3">
        <v>112.3</v>
      </c>
      <c r="G341" s="4">
        <f t="shared" si="1"/>
        <v>0.1769637365</v>
      </c>
      <c r="H341" s="4">
        <f t="shared" si="2"/>
        <v>0.943330932</v>
      </c>
    </row>
    <row r="342">
      <c r="A342" s="3">
        <v>341.0</v>
      </c>
      <c r="B342" s="3" t="s">
        <v>385</v>
      </c>
      <c r="D342" s="3">
        <v>-16.13</v>
      </c>
      <c r="E342" s="3">
        <v>94.7</v>
      </c>
      <c r="F342" s="3">
        <v>110.9</v>
      </c>
      <c r="G342" s="4">
        <f t="shared" si="1"/>
        <v>0.1709160464</v>
      </c>
      <c r="H342" s="4">
        <f t="shared" si="2"/>
        <v>0.9455396107</v>
      </c>
    </row>
    <row r="343">
      <c r="A343" s="3">
        <v>342.0</v>
      </c>
      <c r="B343" s="3" t="s">
        <v>499</v>
      </c>
      <c r="D343" s="3">
        <v>-16.53</v>
      </c>
      <c r="E343" s="3">
        <v>94.1</v>
      </c>
      <c r="F343" s="3">
        <v>110.6</v>
      </c>
      <c r="G343" s="4">
        <f t="shared" si="1"/>
        <v>0.1658097531</v>
      </c>
      <c r="H343" s="4">
        <f t="shared" si="2"/>
        <v>0.9473874584</v>
      </c>
    </row>
    <row r="344">
      <c r="A344" s="3">
        <v>343.0</v>
      </c>
      <c r="B344" s="3" t="s">
        <v>506</v>
      </c>
      <c r="D344" s="3">
        <v>-16.74</v>
      </c>
      <c r="E344" s="3">
        <v>95.5</v>
      </c>
      <c r="F344" s="3">
        <v>112.2</v>
      </c>
      <c r="G344" s="4">
        <f t="shared" si="1"/>
        <v>0.1663711066</v>
      </c>
      <c r="H344" s="4">
        <f t="shared" si="2"/>
        <v>0.9471850737</v>
      </c>
    </row>
    <row r="345">
      <c r="A345" s="3">
        <v>344.0</v>
      </c>
      <c r="B345" s="3" t="s">
        <v>423</v>
      </c>
      <c r="D345" s="3">
        <v>-16.96</v>
      </c>
      <c r="E345" s="3">
        <v>93.8</v>
      </c>
      <c r="F345" s="3">
        <v>110.7</v>
      </c>
      <c r="G345" s="4">
        <f t="shared" si="1"/>
        <v>0.1602203021</v>
      </c>
      <c r="H345" s="4">
        <f t="shared" si="2"/>
        <v>0.949392525</v>
      </c>
    </row>
    <row r="346">
      <c r="A346" s="3">
        <v>345.0</v>
      </c>
      <c r="B346" s="3" t="s">
        <v>587</v>
      </c>
      <c r="D346" s="3">
        <v>-17.04</v>
      </c>
      <c r="E346" s="3">
        <v>98.4</v>
      </c>
      <c r="F346" s="3">
        <v>115.4</v>
      </c>
      <c r="G346" s="4">
        <f t="shared" si="1"/>
        <v>0.1688730221</v>
      </c>
      <c r="H346" s="4">
        <f t="shared" si="2"/>
        <v>0.9462807913</v>
      </c>
    </row>
    <row r="347">
      <c r="A347" s="3">
        <v>346.0</v>
      </c>
      <c r="B347" s="3" t="s">
        <v>588</v>
      </c>
      <c r="D347" s="3">
        <v>-17.04</v>
      </c>
      <c r="E347" s="3">
        <v>98.7</v>
      </c>
      <c r="F347" s="3">
        <v>115.8</v>
      </c>
      <c r="G347" s="4">
        <f t="shared" si="1"/>
        <v>0.1682898535</v>
      </c>
      <c r="H347" s="4">
        <f t="shared" si="2"/>
        <v>0.9464919011</v>
      </c>
    </row>
    <row r="348">
      <c r="A348" s="3">
        <v>347.0</v>
      </c>
      <c r="B348" s="3" t="s">
        <v>470</v>
      </c>
      <c r="D348" s="3">
        <v>-17.15</v>
      </c>
      <c r="E348" s="3">
        <v>93.8</v>
      </c>
      <c r="F348" s="3">
        <v>111.0</v>
      </c>
      <c r="G348" s="4">
        <f t="shared" si="1"/>
        <v>0.1566122973</v>
      </c>
      <c r="H348" s="4">
        <f t="shared" si="2"/>
        <v>0.9506771312</v>
      </c>
    </row>
    <row r="349">
      <c r="A349" s="3">
        <v>348.0</v>
      </c>
      <c r="B349" s="3" t="s">
        <v>352</v>
      </c>
      <c r="D349" s="3">
        <v>-17.45</v>
      </c>
      <c r="E349" s="3">
        <v>92.6</v>
      </c>
      <c r="F349" s="3">
        <v>110.0</v>
      </c>
      <c r="G349" s="4">
        <f t="shared" si="1"/>
        <v>0.1516250188</v>
      </c>
      <c r="H349" s="4">
        <f t="shared" si="2"/>
        <v>0.9524404713</v>
      </c>
    </row>
    <row r="350">
      <c r="A350" s="3">
        <v>349.0</v>
      </c>
      <c r="B350" s="3" t="s">
        <v>589</v>
      </c>
      <c r="D350" s="3">
        <v>-17.64</v>
      </c>
      <c r="E350" s="3">
        <v>96.7</v>
      </c>
      <c r="F350" s="3">
        <v>114.3</v>
      </c>
      <c r="G350" s="4">
        <f t="shared" si="1"/>
        <v>0.158140177</v>
      </c>
      <c r="H350" s="4">
        <f t="shared" si="2"/>
        <v>0.95013406</v>
      </c>
    </row>
    <row r="351">
      <c r="A351" s="3">
        <v>350.0</v>
      </c>
      <c r="B351" s="3" t="s">
        <v>151</v>
      </c>
      <c r="D351" s="3">
        <v>-17.86</v>
      </c>
      <c r="E351" s="3">
        <v>92.9</v>
      </c>
      <c r="F351" s="3">
        <v>110.8</v>
      </c>
      <c r="G351" s="4">
        <f t="shared" si="1"/>
        <v>0.1465361182</v>
      </c>
      <c r="H351" s="4">
        <f t="shared" si="2"/>
        <v>0.9542251348</v>
      </c>
    </row>
    <row r="352">
      <c r="A352" s="3">
        <v>351.0</v>
      </c>
      <c r="B352" s="3" t="s">
        <v>491</v>
      </c>
      <c r="D352" s="3">
        <v>-18.14</v>
      </c>
      <c r="E352" s="3">
        <v>97.3</v>
      </c>
      <c r="F352" s="3">
        <v>115.5</v>
      </c>
      <c r="G352" s="4">
        <f t="shared" si="1"/>
        <v>0.1525531055</v>
      </c>
      <c r="H352" s="4">
        <f t="shared" si="2"/>
        <v>0.9521134083</v>
      </c>
    </row>
    <row r="353">
      <c r="A353" s="3">
        <v>352.0</v>
      </c>
      <c r="B353" s="3" t="s">
        <v>362</v>
      </c>
      <c r="D353" s="3">
        <v>-18.7</v>
      </c>
      <c r="E353" s="3">
        <v>91.2</v>
      </c>
      <c r="F353" s="3">
        <v>109.9</v>
      </c>
      <c r="G353" s="4">
        <f t="shared" si="1"/>
        <v>0.1341027862</v>
      </c>
      <c r="H353" s="4">
        <f t="shared" si="2"/>
        <v>0.9585245244</v>
      </c>
    </row>
    <row r="354">
      <c r="A354" s="3">
        <v>353.0</v>
      </c>
      <c r="B354" s="3" t="s">
        <v>505</v>
      </c>
      <c r="D354" s="3">
        <v>-18.97</v>
      </c>
      <c r="E354" s="3">
        <v>101.7</v>
      </c>
      <c r="F354" s="3">
        <v>120.7</v>
      </c>
      <c r="G354" s="4">
        <f t="shared" si="1"/>
        <v>0.1527998274</v>
      </c>
      <c r="H354" s="4">
        <f t="shared" si="2"/>
        <v>0.9520263793</v>
      </c>
    </row>
    <row r="355">
      <c r="A355" s="3">
        <v>354.0</v>
      </c>
      <c r="B355" s="3" t="s">
        <v>503</v>
      </c>
      <c r="D355" s="3">
        <v>-19.57</v>
      </c>
      <c r="E355" s="3">
        <v>98.3</v>
      </c>
      <c r="F355" s="3">
        <v>117.9</v>
      </c>
      <c r="G355" s="4">
        <f t="shared" si="1"/>
        <v>0.1396586733</v>
      </c>
      <c r="H355" s="4">
        <f t="shared" si="2"/>
        <v>0.9566139107</v>
      </c>
    </row>
    <row r="356">
      <c r="A356" s="3">
        <v>355.0</v>
      </c>
      <c r="B356" s="3" t="s">
        <v>590</v>
      </c>
      <c r="D356" s="3">
        <v>-19.83</v>
      </c>
      <c r="E356" s="3">
        <v>90.7</v>
      </c>
      <c r="F356" s="3">
        <v>110.5</v>
      </c>
      <c r="G356" s="4">
        <f t="shared" si="1"/>
        <v>0.1218976245</v>
      </c>
      <c r="H356" s="4">
        <f t="shared" si="2"/>
        <v>0.9626628645</v>
      </c>
    </row>
    <row r="357">
      <c r="A357" s="3">
        <v>356.0</v>
      </c>
      <c r="B357" s="3" t="s">
        <v>591</v>
      </c>
      <c r="D357" s="3">
        <v>-20.11</v>
      </c>
      <c r="E357" s="3">
        <v>92.1</v>
      </c>
      <c r="F357" s="3">
        <v>112.2</v>
      </c>
      <c r="G357" s="4">
        <f t="shared" si="1"/>
        <v>0.121951276</v>
      </c>
      <c r="H357" s="4">
        <f t="shared" si="2"/>
        <v>0.9626448478</v>
      </c>
    </row>
    <row r="358">
      <c r="A358" s="3">
        <v>357.0</v>
      </c>
      <c r="B358" s="3" t="s">
        <v>592</v>
      </c>
      <c r="D358" s="3">
        <v>-20.19</v>
      </c>
      <c r="E358" s="3">
        <v>92.3</v>
      </c>
      <c r="F358" s="3">
        <v>112.5</v>
      </c>
      <c r="G358" s="4">
        <f t="shared" si="1"/>
        <v>0.1214157924</v>
      </c>
      <c r="H358" s="4">
        <f t="shared" si="2"/>
        <v>0.9628246</v>
      </c>
    </row>
    <row r="359">
      <c r="A359" s="3">
        <v>358.0</v>
      </c>
      <c r="B359" s="3" t="s">
        <v>364</v>
      </c>
      <c r="D359" s="3">
        <v>-20.51</v>
      </c>
      <c r="E359" s="3">
        <v>94.6</v>
      </c>
      <c r="F359" s="3">
        <v>115.1</v>
      </c>
      <c r="G359" s="4">
        <f t="shared" si="1"/>
        <v>0.1233114643</v>
      </c>
      <c r="H359" s="4">
        <f t="shared" si="2"/>
        <v>0.9621875727</v>
      </c>
    </row>
    <row r="360">
      <c r="A360" s="3">
        <v>359.0</v>
      </c>
      <c r="B360" s="3" t="s">
        <v>488</v>
      </c>
      <c r="D360" s="3">
        <v>-20.75</v>
      </c>
      <c r="E360" s="3">
        <v>89.4</v>
      </c>
      <c r="F360" s="3">
        <v>110.1</v>
      </c>
      <c r="G360" s="4">
        <f t="shared" si="1"/>
        <v>0.1107913098</v>
      </c>
      <c r="H360" s="4">
        <f t="shared" si="2"/>
        <v>0.9663598771</v>
      </c>
    </row>
    <row r="361">
      <c r="A361" s="3">
        <v>360.0</v>
      </c>
      <c r="B361" s="3" t="s">
        <v>593</v>
      </c>
      <c r="D361" s="3">
        <v>-22.05</v>
      </c>
      <c r="E361" s="3">
        <v>95.6</v>
      </c>
      <c r="F361" s="3">
        <v>117.7</v>
      </c>
      <c r="G361" s="4">
        <f t="shared" si="1"/>
        <v>0.111089345</v>
      </c>
      <c r="H361" s="4">
        <f t="shared" si="2"/>
        <v>0.9662615085</v>
      </c>
    </row>
    <row r="362">
      <c r="A362" s="3">
        <v>361.0</v>
      </c>
      <c r="B362" s="3" t="s">
        <v>383</v>
      </c>
      <c r="D362" s="3">
        <v>-26.41</v>
      </c>
      <c r="E362" s="3">
        <v>90.4</v>
      </c>
      <c r="F362" s="3">
        <v>116.8</v>
      </c>
      <c r="G362" s="4">
        <f t="shared" si="1"/>
        <v>0.07161193759</v>
      </c>
      <c r="H362" s="4">
        <f t="shared" si="2"/>
        <v>0.9789034033</v>
      </c>
    </row>
    <row r="363">
      <c r="A363" s="3">
        <v>362.0</v>
      </c>
      <c r="B363" s="3" t="s">
        <v>594</v>
      </c>
      <c r="D363" s="3">
        <v>-29.03</v>
      </c>
      <c r="E363" s="3">
        <v>89.6</v>
      </c>
      <c r="F363" s="3">
        <v>118.6</v>
      </c>
      <c r="G363" s="4">
        <f t="shared" si="1"/>
        <v>0.05710777763</v>
      </c>
      <c r="H363" s="4">
        <f t="shared" si="2"/>
        <v>0.9833596568</v>
      </c>
    </row>
    <row r="364">
      <c r="A364" s="3">
        <v>363.0</v>
      </c>
      <c r="B364" s="3" t="s">
        <v>595</v>
      </c>
      <c r="D364" s="3">
        <v>-29.52</v>
      </c>
      <c r="E364" s="3">
        <v>86.9</v>
      </c>
      <c r="F364" s="3">
        <v>116.4</v>
      </c>
      <c r="G364" s="4">
        <f t="shared" si="1"/>
        <v>0.0510405802</v>
      </c>
      <c r="H364" s="4">
        <f t="shared" si="2"/>
        <v>0.9851950526</v>
      </c>
    </row>
  </sheetData>
  <autoFilter ref="$C$1:$C$981"/>
  <conditionalFormatting sqref="I1:I981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75"/>
  </cols>
  <sheetData>
    <row r="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513</v>
      </c>
      <c r="I1" s="9" t="s">
        <v>184</v>
      </c>
      <c r="J1" s="2"/>
    </row>
    <row r="2">
      <c r="A2" s="3">
        <v>3.0</v>
      </c>
      <c r="B2" s="3" t="s">
        <v>73</v>
      </c>
      <c r="C2" s="4">
        <f>+27.49</f>
        <v>27.49</v>
      </c>
      <c r="D2" s="3">
        <v>119.2</v>
      </c>
      <c r="E2" s="3">
        <v>91.7</v>
      </c>
      <c r="F2" s="4">
        <f t="shared" ref="F2:F359" si="1">D2^10/(D2^10+E2^10)</f>
        <v>0.9323148487</v>
      </c>
      <c r="G2" s="4">
        <f t="shared" ref="G2:G359" si="2">(0.80424686-0.80424686*F2)/(0.80424686+F2-2*0.80424686*F2)</f>
        <v>0.2297449581</v>
      </c>
      <c r="H2" s="3" t="s">
        <v>515</v>
      </c>
      <c r="I2" s="11">
        <v>10.9026043800999</v>
      </c>
    </row>
    <row r="3">
      <c r="A3" s="3">
        <v>5.0</v>
      </c>
      <c r="B3" s="3" t="s">
        <v>55</v>
      </c>
      <c r="C3" s="4">
        <f>+25.96</f>
        <v>25.96</v>
      </c>
      <c r="D3" s="3">
        <v>118.6</v>
      </c>
      <c r="E3" s="3">
        <v>92.6</v>
      </c>
      <c r="F3" s="4">
        <f t="shared" si="1"/>
        <v>0.9223471522</v>
      </c>
      <c r="G3" s="4">
        <f t="shared" si="2"/>
        <v>0.2569996939</v>
      </c>
      <c r="H3" s="3" t="s">
        <v>515</v>
      </c>
      <c r="I3" s="11">
        <v>9.0974210212</v>
      </c>
    </row>
    <row r="4">
      <c r="A4" s="3">
        <v>4.0</v>
      </c>
      <c r="B4" s="3" t="s">
        <v>38</v>
      </c>
      <c r="C4" s="4">
        <f>+27.04</f>
        <v>27.04</v>
      </c>
      <c r="D4" s="3">
        <v>118.0</v>
      </c>
      <c r="E4" s="3">
        <v>91.0</v>
      </c>
      <c r="F4" s="4">
        <f t="shared" si="1"/>
        <v>0.9307489437</v>
      </c>
      <c r="G4" s="4">
        <f t="shared" si="2"/>
        <v>0.2341186376</v>
      </c>
      <c r="H4" s="3" t="s">
        <v>515</v>
      </c>
      <c r="I4" s="11">
        <v>8.8309669181</v>
      </c>
    </row>
    <row r="5">
      <c r="A5" s="3">
        <v>9.0</v>
      </c>
      <c r="B5" s="3" t="s">
        <v>66</v>
      </c>
      <c r="C5" s="4">
        <f>+25.1</f>
        <v>25.1</v>
      </c>
      <c r="D5" s="3">
        <v>111.5</v>
      </c>
      <c r="E5" s="3">
        <v>86.4</v>
      </c>
      <c r="F5" s="4">
        <f t="shared" si="1"/>
        <v>0.9275983106</v>
      </c>
      <c r="G5" s="4">
        <f t="shared" si="2"/>
        <v>0.2428132549</v>
      </c>
      <c r="H5" s="3" t="s">
        <v>515</v>
      </c>
      <c r="I5" s="11">
        <v>8.381870023</v>
      </c>
    </row>
    <row r="6">
      <c r="A6" s="3">
        <v>12.0</v>
      </c>
      <c r="B6" s="3" t="s">
        <v>87</v>
      </c>
      <c r="C6" s="4">
        <f>+23.2</f>
        <v>23.2</v>
      </c>
      <c r="D6" s="3">
        <v>112.7</v>
      </c>
      <c r="E6" s="3">
        <v>89.5</v>
      </c>
      <c r="F6" s="4">
        <f t="shared" si="1"/>
        <v>0.909282699</v>
      </c>
      <c r="G6" s="4">
        <f t="shared" si="2"/>
        <v>0.290726948</v>
      </c>
      <c r="H6" s="3" t="s">
        <v>515</v>
      </c>
      <c r="I6" s="11">
        <v>7.91391217559999</v>
      </c>
    </row>
    <row r="7">
      <c r="A7" s="3">
        <v>10.0</v>
      </c>
      <c r="B7" s="3" t="s">
        <v>70</v>
      </c>
      <c r="C7" s="4">
        <f>+24.56</f>
        <v>24.56</v>
      </c>
      <c r="D7" s="3">
        <v>117.5</v>
      </c>
      <c r="E7" s="3">
        <v>92.9</v>
      </c>
      <c r="F7" s="4">
        <f t="shared" si="1"/>
        <v>0.912866393</v>
      </c>
      <c r="G7" s="4">
        <f t="shared" si="2"/>
        <v>0.2816898106</v>
      </c>
      <c r="H7" s="3" t="s">
        <v>515</v>
      </c>
      <c r="I7" s="11">
        <v>7.10279746659999</v>
      </c>
    </row>
    <row r="8">
      <c r="A8" s="3">
        <v>1.0</v>
      </c>
      <c r="B8" s="3" t="s">
        <v>22</v>
      </c>
      <c r="C8" s="4">
        <f>+30.95</f>
        <v>30.95</v>
      </c>
      <c r="D8" s="3">
        <v>120.7</v>
      </c>
      <c r="E8" s="3">
        <v>89.7</v>
      </c>
      <c r="F8" s="4">
        <f t="shared" si="1"/>
        <v>0.9511247264</v>
      </c>
      <c r="G8" s="4">
        <f t="shared" si="2"/>
        <v>0.1743189773</v>
      </c>
      <c r="H8" s="3" t="s">
        <v>515</v>
      </c>
      <c r="I8" s="11">
        <v>7.0927199389</v>
      </c>
    </row>
    <row r="9">
      <c r="A9" s="3">
        <v>6.0</v>
      </c>
      <c r="B9" s="3" t="s">
        <v>53</v>
      </c>
      <c r="C9" s="4">
        <f>+25.72</f>
        <v>25.72</v>
      </c>
      <c r="D9" s="3">
        <v>120.0</v>
      </c>
      <c r="E9" s="3">
        <v>94.3</v>
      </c>
      <c r="F9" s="4">
        <f t="shared" si="1"/>
        <v>0.917594662</v>
      </c>
      <c r="G9" s="4">
        <f t="shared" si="2"/>
        <v>0.2695211041</v>
      </c>
      <c r="H9" s="3" t="s">
        <v>515</v>
      </c>
      <c r="I9" s="11">
        <v>7.05249787089999</v>
      </c>
    </row>
    <row r="10">
      <c r="A10" s="3">
        <v>14.0</v>
      </c>
      <c r="B10" s="3" t="s">
        <v>49</v>
      </c>
      <c r="C10" s="4">
        <f>+22.36</f>
        <v>22.36</v>
      </c>
      <c r="D10" s="3">
        <v>121.0</v>
      </c>
      <c r="E10" s="3">
        <v>98.6</v>
      </c>
      <c r="F10" s="4">
        <f t="shared" si="1"/>
        <v>0.8856636634</v>
      </c>
      <c r="G10" s="4">
        <f t="shared" si="2"/>
        <v>0.346572183</v>
      </c>
      <c r="H10" s="3" t="s">
        <v>515</v>
      </c>
      <c r="I10" s="11">
        <v>7.0041468165</v>
      </c>
    </row>
    <row r="11">
      <c r="A11" s="3">
        <v>8.0</v>
      </c>
      <c r="B11" s="3" t="s">
        <v>36</v>
      </c>
      <c r="C11" s="4">
        <f>+25.15</f>
        <v>25.15</v>
      </c>
      <c r="D11" s="3">
        <v>121.1</v>
      </c>
      <c r="E11" s="3">
        <v>95.9</v>
      </c>
      <c r="F11" s="4">
        <f t="shared" si="1"/>
        <v>0.9115820567</v>
      </c>
      <c r="G11" s="4">
        <f t="shared" si="2"/>
        <v>0.2849467285</v>
      </c>
      <c r="H11" s="3" t="s">
        <v>515</v>
      </c>
      <c r="I11" s="11">
        <v>6.74525434659999</v>
      </c>
    </row>
    <row r="12">
      <c r="A12" s="3">
        <v>7.0</v>
      </c>
      <c r="B12" s="3" t="s">
        <v>32</v>
      </c>
      <c r="C12" s="4">
        <f>+25.64</f>
        <v>25.64</v>
      </c>
      <c r="D12" s="3">
        <v>110.7</v>
      </c>
      <c r="E12" s="3">
        <v>85.0</v>
      </c>
      <c r="F12" s="4">
        <f t="shared" si="1"/>
        <v>0.9334991816</v>
      </c>
      <c r="G12" s="4">
        <f t="shared" si="2"/>
        <v>0.2264136005</v>
      </c>
      <c r="H12" s="3" t="s">
        <v>515</v>
      </c>
      <c r="I12" s="11">
        <v>6.7333881328</v>
      </c>
    </row>
    <row r="13">
      <c r="A13" s="3">
        <v>32.0</v>
      </c>
      <c r="B13" s="3" t="s">
        <v>79</v>
      </c>
      <c r="C13" s="4">
        <f>+15.89</f>
        <v>15.89</v>
      </c>
      <c r="D13" s="3">
        <v>111.5</v>
      </c>
      <c r="E13" s="3">
        <v>95.6</v>
      </c>
      <c r="F13" s="4">
        <f t="shared" si="1"/>
        <v>0.8232491403</v>
      </c>
      <c r="G13" s="4">
        <f t="shared" si="2"/>
        <v>0.4686746265</v>
      </c>
      <c r="H13" s="3" t="s">
        <v>515</v>
      </c>
      <c r="I13" s="11">
        <v>6.6159620203</v>
      </c>
    </row>
    <row r="14">
      <c r="A14" s="3">
        <v>37.0</v>
      </c>
      <c r="B14" s="3" t="s">
        <v>83</v>
      </c>
      <c r="C14" s="4">
        <f>+15.34</f>
        <v>15.34</v>
      </c>
      <c r="D14" s="3">
        <v>109.3</v>
      </c>
      <c r="E14" s="3">
        <v>94.0</v>
      </c>
      <c r="F14" s="4">
        <f t="shared" si="1"/>
        <v>0.8187670112</v>
      </c>
      <c r="G14" s="4">
        <f t="shared" si="2"/>
        <v>0.476276765</v>
      </c>
      <c r="H14" s="3" t="s">
        <v>515</v>
      </c>
      <c r="I14" s="11">
        <v>6.2904146344</v>
      </c>
    </row>
    <row r="15">
      <c r="A15" s="3">
        <v>18.0</v>
      </c>
      <c r="B15" s="3" t="s">
        <v>28</v>
      </c>
      <c r="C15" s="4">
        <f>+19.46</f>
        <v>19.46</v>
      </c>
      <c r="D15" s="3">
        <v>109.9</v>
      </c>
      <c r="E15" s="3">
        <v>90.4</v>
      </c>
      <c r="F15" s="4">
        <f t="shared" si="1"/>
        <v>0.8758023229</v>
      </c>
      <c r="G15" s="4">
        <f t="shared" si="2"/>
        <v>0.3681377893</v>
      </c>
      <c r="H15" s="3" t="s">
        <v>515</v>
      </c>
      <c r="I15" s="11">
        <v>5.4004391098</v>
      </c>
    </row>
    <row r="16">
      <c r="A16" s="3">
        <v>11.0</v>
      </c>
      <c r="B16" s="3" t="s">
        <v>45</v>
      </c>
      <c r="C16" s="4">
        <f>+24.26</f>
        <v>24.26</v>
      </c>
      <c r="D16" s="3">
        <v>115.9</v>
      </c>
      <c r="E16" s="3">
        <v>91.7</v>
      </c>
      <c r="F16" s="4">
        <f t="shared" si="1"/>
        <v>0.9123005382</v>
      </c>
      <c r="G16" s="4">
        <f t="shared" si="2"/>
        <v>0.2831272665</v>
      </c>
      <c r="H16" s="3" t="s">
        <v>515</v>
      </c>
      <c r="I16" s="11">
        <v>5.35416986969999</v>
      </c>
    </row>
    <row r="17">
      <c r="A17" s="3">
        <v>2.0</v>
      </c>
      <c r="B17" s="3" t="s">
        <v>59</v>
      </c>
      <c r="C17" s="4">
        <f>+27.7</f>
        <v>27.7</v>
      </c>
      <c r="D17" s="3">
        <v>116.8</v>
      </c>
      <c r="E17" s="3">
        <v>89.1</v>
      </c>
      <c r="F17" s="4">
        <f t="shared" si="1"/>
        <v>0.9374406275</v>
      </c>
      <c r="G17" s="4">
        <f t="shared" si="2"/>
        <v>0.2151789921</v>
      </c>
      <c r="H17" s="3" t="s">
        <v>515</v>
      </c>
      <c r="I17" s="11">
        <v>5.27350093499999</v>
      </c>
    </row>
    <row r="18">
      <c r="A18" s="3">
        <v>46.0</v>
      </c>
      <c r="B18" s="3" t="s">
        <v>64</v>
      </c>
      <c r="C18" s="4">
        <f>+14.45</f>
        <v>14.45</v>
      </c>
      <c r="D18" s="3">
        <v>112.9</v>
      </c>
      <c r="E18" s="3">
        <v>98.4</v>
      </c>
      <c r="F18" s="4">
        <f t="shared" si="1"/>
        <v>0.7981250223</v>
      </c>
      <c r="G18" s="4">
        <f t="shared" si="2"/>
        <v>0.5096076211</v>
      </c>
      <c r="H18" s="3" t="s">
        <v>515</v>
      </c>
      <c r="I18" s="11">
        <v>4.9564596376</v>
      </c>
    </row>
    <row r="19">
      <c r="A19" s="3">
        <v>17.0</v>
      </c>
      <c r="B19" s="3" t="s">
        <v>517</v>
      </c>
      <c r="C19" s="4">
        <f>+19.53</f>
        <v>19.53</v>
      </c>
      <c r="D19" s="3">
        <v>110.1</v>
      </c>
      <c r="E19" s="3">
        <v>90.6</v>
      </c>
      <c r="F19" s="4">
        <f t="shared" si="1"/>
        <v>0.8753755639</v>
      </c>
      <c r="G19" s="4">
        <f t="shared" si="2"/>
        <v>0.369049549</v>
      </c>
      <c r="H19" s="3" t="s">
        <v>515</v>
      </c>
      <c r="I19" s="11">
        <v>4.3533986359</v>
      </c>
    </row>
    <row r="20">
      <c r="A20" s="3">
        <v>13.0</v>
      </c>
      <c r="B20" s="3" t="s">
        <v>77</v>
      </c>
      <c r="C20" s="4">
        <f>+22.72</f>
        <v>22.72</v>
      </c>
      <c r="D20" s="3">
        <v>120.5</v>
      </c>
      <c r="E20" s="3">
        <v>97.8</v>
      </c>
      <c r="F20" s="4">
        <f t="shared" si="1"/>
        <v>0.8896579286</v>
      </c>
      <c r="G20" s="4">
        <f t="shared" si="2"/>
        <v>0.3375570579</v>
      </c>
      <c r="H20" s="3" t="s">
        <v>515</v>
      </c>
      <c r="I20" s="11">
        <v>4.2806806692</v>
      </c>
    </row>
    <row r="21">
      <c r="A21" s="3">
        <v>20.0</v>
      </c>
      <c r="B21" s="3" t="s">
        <v>61</v>
      </c>
      <c r="C21" s="4">
        <f>+18.75</f>
        <v>18.75</v>
      </c>
      <c r="D21" s="3">
        <v>112.0</v>
      </c>
      <c r="E21" s="3">
        <v>93.3</v>
      </c>
      <c r="F21" s="4">
        <f t="shared" si="1"/>
        <v>0.8613785978</v>
      </c>
      <c r="G21" s="4">
        <f t="shared" si="2"/>
        <v>0.398016698</v>
      </c>
      <c r="H21" s="3" t="s">
        <v>515</v>
      </c>
      <c r="I21" s="11">
        <v>4.1908257209</v>
      </c>
    </row>
    <row r="22">
      <c r="A22" s="3">
        <v>47.0</v>
      </c>
      <c r="B22" s="3" t="s">
        <v>520</v>
      </c>
      <c r="C22" s="4">
        <f>+14.14</f>
        <v>14.14</v>
      </c>
      <c r="D22" s="3">
        <v>109.8</v>
      </c>
      <c r="E22" s="3">
        <v>95.6</v>
      </c>
      <c r="F22" s="4">
        <f t="shared" si="1"/>
        <v>0.7997731402</v>
      </c>
      <c r="G22" s="4">
        <f t="shared" si="2"/>
        <v>0.5070432331</v>
      </c>
      <c r="H22" s="3" t="s">
        <v>515</v>
      </c>
      <c r="I22" s="11">
        <v>4.12853013809999</v>
      </c>
    </row>
    <row r="23">
      <c r="A23" s="3">
        <v>39.0</v>
      </c>
      <c r="B23" s="3" t="s">
        <v>24</v>
      </c>
      <c r="C23" s="4">
        <f>+15.14</f>
        <v>15.14</v>
      </c>
      <c r="D23" s="3">
        <v>107.5</v>
      </c>
      <c r="E23" s="3">
        <v>92.4</v>
      </c>
      <c r="F23" s="4">
        <f t="shared" si="1"/>
        <v>0.8195998345</v>
      </c>
      <c r="G23" s="4">
        <f t="shared" si="2"/>
        <v>0.4748744801</v>
      </c>
      <c r="H23" s="3" t="s">
        <v>515</v>
      </c>
      <c r="I23" s="11">
        <v>4.1197224436</v>
      </c>
    </row>
    <row r="24">
      <c r="A24" s="3">
        <v>16.0</v>
      </c>
      <c r="B24" s="3" t="s">
        <v>40</v>
      </c>
      <c r="C24" s="4">
        <f>+20.13</f>
        <v>20.13</v>
      </c>
      <c r="D24" s="3">
        <v>114.4</v>
      </c>
      <c r="E24" s="3">
        <v>94.3</v>
      </c>
      <c r="F24" s="4">
        <f t="shared" si="1"/>
        <v>0.8734926044</v>
      </c>
      <c r="G24" s="4">
        <f t="shared" si="2"/>
        <v>0.3730517136</v>
      </c>
      <c r="H24" s="3" t="s">
        <v>515</v>
      </c>
      <c r="I24" s="11">
        <v>3.93304326939999</v>
      </c>
    </row>
    <row r="25">
      <c r="A25" s="3">
        <v>36.0</v>
      </c>
      <c r="B25" s="3" t="s">
        <v>51</v>
      </c>
      <c r="C25" s="4">
        <f>+15.42</f>
        <v>15.42</v>
      </c>
      <c r="D25" s="3">
        <v>111.5</v>
      </c>
      <c r="E25" s="3">
        <v>96.1</v>
      </c>
      <c r="F25" s="4">
        <f t="shared" si="1"/>
        <v>0.815530209</v>
      </c>
      <c r="G25" s="4">
        <f t="shared" si="2"/>
        <v>0.481682985</v>
      </c>
      <c r="H25" s="3" t="s">
        <v>515</v>
      </c>
      <c r="I25" s="11">
        <v>3.6881642698</v>
      </c>
    </row>
    <row r="26">
      <c r="A26" s="3">
        <v>15.0</v>
      </c>
      <c r="B26" s="3" t="s">
        <v>47</v>
      </c>
      <c r="C26" s="4">
        <f>+20.88</f>
        <v>20.88</v>
      </c>
      <c r="D26" s="3">
        <v>112.5</v>
      </c>
      <c r="E26" s="3">
        <v>91.6</v>
      </c>
      <c r="F26" s="4">
        <f t="shared" si="1"/>
        <v>0.8864739586</v>
      </c>
      <c r="G26" s="4">
        <f t="shared" si="2"/>
        <v>0.3447567119</v>
      </c>
      <c r="H26" s="3" t="s">
        <v>515</v>
      </c>
      <c r="I26" s="11">
        <v>3.5343841277</v>
      </c>
    </row>
    <row r="27">
      <c r="A27" s="3">
        <v>22.0</v>
      </c>
      <c r="B27" s="3" t="s">
        <v>516</v>
      </c>
      <c r="C27" s="4">
        <f>+18.55</f>
        <v>18.55</v>
      </c>
      <c r="D27" s="3">
        <v>113.8</v>
      </c>
      <c r="E27" s="3">
        <v>95.3</v>
      </c>
      <c r="F27" s="4">
        <f t="shared" si="1"/>
        <v>0.8549701671</v>
      </c>
      <c r="G27" s="4">
        <f t="shared" si="2"/>
        <v>0.4106993095</v>
      </c>
      <c r="H27" s="3" t="s">
        <v>515</v>
      </c>
      <c r="I27" s="11">
        <v>3.40768269419999</v>
      </c>
    </row>
    <row r="28">
      <c r="A28" s="3">
        <v>26.0</v>
      </c>
      <c r="B28" s="3" t="s">
        <v>58</v>
      </c>
      <c r="C28" s="4">
        <f>+17.02</f>
        <v>17.02</v>
      </c>
      <c r="D28" s="3">
        <v>108.7</v>
      </c>
      <c r="E28" s="3">
        <v>91.7</v>
      </c>
      <c r="F28" s="4">
        <f t="shared" si="1"/>
        <v>0.845625373</v>
      </c>
      <c r="G28" s="4">
        <f t="shared" si="2"/>
        <v>0.428581178</v>
      </c>
      <c r="H28" s="3" t="s">
        <v>515</v>
      </c>
      <c r="I28" s="11">
        <v>3.0799605265</v>
      </c>
    </row>
    <row r="29">
      <c r="A29" s="3">
        <v>25.0</v>
      </c>
      <c r="B29" s="3" t="s">
        <v>75</v>
      </c>
      <c r="C29" s="4">
        <f>+17.07</f>
        <v>17.07</v>
      </c>
      <c r="D29" s="3">
        <v>103.4</v>
      </c>
      <c r="E29" s="3">
        <v>86.3</v>
      </c>
      <c r="F29" s="4">
        <f t="shared" si="1"/>
        <v>0.8590901621</v>
      </c>
      <c r="G29" s="4">
        <f t="shared" si="2"/>
        <v>0.4025859635</v>
      </c>
      <c r="H29" s="3" t="s">
        <v>515</v>
      </c>
      <c r="I29" s="11">
        <v>2.9254858751</v>
      </c>
    </row>
    <row r="30">
      <c r="A30" s="3">
        <v>43.0</v>
      </c>
      <c r="B30" s="3" t="s">
        <v>82</v>
      </c>
      <c r="C30" s="4">
        <f>+14.63</f>
        <v>14.63</v>
      </c>
      <c r="D30" s="3">
        <v>103.1</v>
      </c>
      <c r="E30" s="3">
        <v>88.5</v>
      </c>
      <c r="F30" s="4">
        <f t="shared" si="1"/>
        <v>0.8215623204</v>
      </c>
      <c r="G30" s="4">
        <f t="shared" si="2"/>
        <v>0.4715516319</v>
      </c>
      <c r="H30" s="3" t="s">
        <v>515</v>
      </c>
      <c r="I30" s="11">
        <v>2.9102872774</v>
      </c>
    </row>
    <row r="31" hidden="1">
      <c r="A31" s="3">
        <v>30.0</v>
      </c>
      <c r="B31" s="3" t="s">
        <v>156</v>
      </c>
      <c r="C31" s="4">
        <f>+16.48</f>
        <v>16.48</v>
      </c>
      <c r="D31" s="3">
        <v>111.0</v>
      </c>
      <c r="E31" s="3">
        <v>94.6</v>
      </c>
      <c r="F31" s="4">
        <f t="shared" si="1"/>
        <v>0.8318404259</v>
      </c>
      <c r="G31" s="4">
        <f t="shared" si="2"/>
        <v>0.453714059</v>
      </c>
    </row>
    <row r="32">
      <c r="A32" s="3">
        <v>21.0</v>
      </c>
      <c r="B32" s="3" t="s">
        <v>535</v>
      </c>
      <c r="C32" s="4">
        <f>+18.65</f>
        <v>18.65</v>
      </c>
      <c r="D32" s="3">
        <v>107.3</v>
      </c>
      <c r="E32" s="3">
        <v>88.7</v>
      </c>
      <c r="F32" s="4">
        <f t="shared" si="1"/>
        <v>0.8703083205</v>
      </c>
      <c r="G32" s="4">
        <f t="shared" si="2"/>
        <v>0.3797438204</v>
      </c>
      <c r="H32" s="3" t="s">
        <v>515</v>
      </c>
      <c r="I32" s="11">
        <v>2.874713095</v>
      </c>
    </row>
    <row r="33">
      <c r="A33" s="3">
        <v>42.0</v>
      </c>
      <c r="B33" s="3" t="s">
        <v>34</v>
      </c>
      <c r="C33" s="4">
        <f>+14.76</f>
        <v>14.76</v>
      </c>
      <c r="D33" s="3">
        <v>111.9</v>
      </c>
      <c r="E33" s="3">
        <v>97.1</v>
      </c>
      <c r="F33" s="4">
        <f t="shared" si="1"/>
        <v>0.8051254994</v>
      </c>
      <c r="G33" s="4">
        <f t="shared" si="2"/>
        <v>0.4986023751</v>
      </c>
      <c r="H33" s="3" t="s">
        <v>515</v>
      </c>
      <c r="I33" s="11">
        <v>2.73169331649999</v>
      </c>
    </row>
    <row r="34" hidden="1">
      <c r="A34" s="3">
        <v>33.0</v>
      </c>
      <c r="B34" s="3" t="s">
        <v>116</v>
      </c>
      <c r="C34" s="4">
        <f>+15.69</f>
        <v>15.69</v>
      </c>
      <c r="D34" s="3">
        <v>109.1</v>
      </c>
      <c r="E34" s="3">
        <v>93.4</v>
      </c>
      <c r="F34" s="4">
        <f t="shared" si="1"/>
        <v>0.825452596</v>
      </c>
      <c r="G34" s="4">
        <f t="shared" si="2"/>
        <v>0.4648869961</v>
      </c>
    </row>
    <row r="35" hidden="1">
      <c r="A35" s="3">
        <v>34.0</v>
      </c>
      <c r="B35" s="3" t="s">
        <v>522</v>
      </c>
      <c r="C35" s="4">
        <f>+15.6</f>
        <v>15.6</v>
      </c>
      <c r="D35" s="3">
        <v>103.8</v>
      </c>
      <c r="E35" s="3">
        <v>88.2</v>
      </c>
      <c r="F35" s="4">
        <f t="shared" si="1"/>
        <v>0.8359764019</v>
      </c>
      <c r="G35" s="4">
        <f t="shared" si="2"/>
        <v>0.4463230959</v>
      </c>
    </row>
    <row r="36" hidden="1">
      <c r="A36" s="3">
        <v>35.0</v>
      </c>
      <c r="B36" s="3" t="s">
        <v>222</v>
      </c>
      <c r="C36" s="4">
        <f>+15.56</f>
        <v>15.56</v>
      </c>
      <c r="D36" s="3">
        <v>110.7</v>
      </c>
      <c r="E36" s="3">
        <v>95.1</v>
      </c>
      <c r="F36" s="4">
        <f t="shared" si="1"/>
        <v>0.8203836194</v>
      </c>
      <c r="G36" s="4">
        <f t="shared" si="2"/>
        <v>0.4735505089</v>
      </c>
    </row>
    <row r="37">
      <c r="A37" s="3">
        <v>28.0</v>
      </c>
      <c r="B37" s="3" t="s">
        <v>30</v>
      </c>
      <c r="C37" s="4">
        <f>+16.57</f>
        <v>16.57</v>
      </c>
      <c r="D37" s="3">
        <v>115.2</v>
      </c>
      <c r="E37" s="3">
        <v>98.6</v>
      </c>
      <c r="F37" s="4">
        <f t="shared" si="1"/>
        <v>0.8257764523</v>
      </c>
      <c r="G37" s="4">
        <f t="shared" si="2"/>
        <v>0.4643274663</v>
      </c>
      <c r="H37" s="3" t="s">
        <v>515</v>
      </c>
      <c r="I37" s="11">
        <v>2.6664784101</v>
      </c>
    </row>
    <row r="38">
      <c r="A38" s="3">
        <v>40.0</v>
      </c>
      <c r="B38" s="3" t="s">
        <v>35</v>
      </c>
      <c r="C38" s="4">
        <f>+14.85</f>
        <v>14.85</v>
      </c>
      <c r="D38" s="3">
        <v>116.8</v>
      </c>
      <c r="E38" s="3">
        <v>101.9</v>
      </c>
      <c r="F38" s="4">
        <f t="shared" si="1"/>
        <v>0.7965243408</v>
      </c>
      <c r="G38" s="4">
        <f t="shared" si="2"/>
        <v>0.5120827933</v>
      </c>
      <c r="H38" s="3" t="s">
        <v>515</v>
      </c>
      <c r="I38" s="11">
        <v>2.3734856295</v>
      </c>
    </row>
    <row r="39">
      <c r="A39" s="3">
        <v>23.0</v>
      </c>
      <c r="B39" s="3" t="s">
        <v>52</v>
      </c>
      <c r="C39" s="4">
        <f>+17.38</f>
        <v>17.38</v>
      </c>
      <c r="D39" s="3">
        <v>110.5</v>
      </c>
      <c r="E39" s="3">
        <v>93.1</v>
      </c>
      <c r="F39" s="4">
        <f t="shared" si="1"/>
        <v>0.8472784896</v>
      </c>
      <c r="G39" s="4">
        <f t="shared" si="2"/>
        <v>0.4254691187</v>
      </c>
      <c r="H39" s="3" t="s">
        <v>515</v>
      </c>
      <c r="I39" s="11">
        <v>2.36931492309999</v>
      </c>
    </row>
    <row r="40">
      <c r="A40" s="3">
        <v>41.0</v>
      </c>
      <c r="B40" s="3" t="s">
        <v>86</v>
      </c>
      <c r="C40" s="4">
        <f>+14.8</f>
        <v>14.8</v>
      </c>
      <c r="D40" s="3">
        <v>113.9</v>
      </c>
      <c r="E40" s="3">
        <v>99.1</v>
      </c>
      <c r="F40" s="4">
        <f t="shared" si="1"/>
        <v>0.800897673</v>
      </c>
      <c r="G40" s="4">
        <f t="shared" si="2"/>
        <v>0.505284202</v>
      </c>
      <c r="H40" s="3" t="s">
        <v>515</v>
      </c>
      <c r="I40" s="11">
        <v>2.1476394041</v>
      </c>
    </row>
    <row r="41">
      <c r="A41" s="3">
        <v>52.0</v>
      </c>
      <c r="B41" s="3" t="s">
        <v>57</v>
      </c>
      <c r="C41" s="4">
        <f>+13.61</f>
        <v>13.61</v>
      </c>
      <c r="D41" s="3">
        <v>107.1</v>
      </c>
      <c r="E41" s="3">
        <v>93.5</v>
      </c>
      <c r="F41" s="4">
        <f t="shared" si="1"/>
        <v>0.7954369608</v>
      </c>
      <c r="G41" s="4">
        <f t="shared" si="2"/>
        <v>0.5137556467</v>
      </c>
      <c r="H41" s="3" t="s">
        <v>515</v>
      </c>
      <c r="I41" s="11">
        <v>2.1395124524</v>
      </c>
    </row>
    <row r="42">
      <c r="A42" s="3">
        <v>50.0</v>
      </c>
      <c r="B42" s="3" t="s">
        <v>76</v>
      </c>
      <c r="C42" s="4">
        <f>+13.78</f>
        <v>13.78</v>
      </c>
      <c r="D42" s="3">
        <v>105.9</v>
      </c>
      <c r="E42" s="3">
        <v>92.2</v>
      </c>
      <c r="F42" s="4">
        <f t="shared" si="1"/>
        <v>0.7998490548</v>
      </c>
      <c r="G42" s="4">
        <f t="shared" si="2"/>
        <v>0.5069247237</v>
      </c>
      <c r="H42" s="3" t="s">
        <v>515</v>
      </c>
      <c r="I42" s="11">
        <v>2.1185175831</v>
      </c>
    </row>
    <row r="43">
      <c r="A43" s="3">
        <v>29.0</v>
      </c>
      <c r="B43" s="3" t="s">
        <v>562</v>
      </c>
      <c r="C43" s="4">
        <f>+16.52</f>
        <v>16.52</v>
      </c>
      <c r="D43" s="3">
        <v>108.6</v>
      </c>
      <c r="E43" s="3">
        <v>92.1</v>
      </c>
      <c r="F43" s="4">
        <f t="shared" si="1"/>
        <v>0.8386157762</v>
      </c>
      <c r="G43" s="4">
        <f t="shared" si="2"/>
        <v>0.4415404003</v>
      </c>
      <c r="H43" s="3" t="s">
        <v>515</v>
      </c>
      <c r="I43" s="11">
        <v>1.88047954019999</v>
      </c>
    </row>
    <row r="44">
      <c r="A44" s="3">
        <v>81.0</v>
      </c>
      <c r="B44" s="3" t="s">
        <v>80</v>
      </c>
      <c r="C44" s="4">
        <f>+10.58</f>
        <v>10.58</v>
      </c>
      <c r="D44" s="3">
        <v>115.4</v>
      </c>
      <c r="E44" s="3">
        <v>104.8</v>
      </c>
      <c r="F44" s="4">
        <f t="shared" si="1"/>
        <v>0.7238231797</v>
      </c>
      <c r="G44" s="4">
        <f t="shared" si="2"/>
        <v>0.6105313013</v>
      </c>
      <c r="H44" s="3" t="s">
        <v>515</v>
      </c>
      <c r="I44" s="11">
        <v>1.84425166739999</v>
      </c>
    </row>
    <row r="45" hidden="1">
      <c r="A45" s="3">
        <v>44.0</v>
      </c>
      <c r="B45" s="3" t="s">
        <v>130</v>
      </c>
      <c r="C45" s="4">
        <f t="shared" ref="C45:C46" si="3">+14.46</f>
        <v>14.46</v>
      </c>
      <c r="D45" s="3">
        <v>107.7</v>
      </c>
      <c r="E45" s="3">
        <v>93.3</v>
      </c>
      <c r="F45" s="4">
        <f t="shared" si="1"/>
        <v>0.8077249609</v>
      </c>
      <c r="G45" s="4">
        <f t="shared" si="2"/>
        <v>0.49443951</v>
      </c>
    </row>
    <row r="46" hidden="1">
      <c r="A46" s="3">
        <v>45.0</v>
      </c>
      <c r="B46" s="3" t="s">
        <v>135</v>
      </c>
      <c r="C46" s="4">
        <f t="shared" si="3"/>
        <v>14.46</v>
      </c>
      <c r="D46" s="3">
        <v>109.1</v>
      </c>
      <c r="E46" s="3">
        <v>94.6</v>
      </c>
      <c r="F46" s="4">
        <f t="shared" si="1"/>
        <v>0.8062888885</v>
      </c>
      <c r="G46" s="4">
        <f t="shared" si="2"/>
        <v>0.4967444756</v>
      </c>
    </row>
    <row r="47">
      <c r="A47" s="3">
        <v>31.0</v>
      </c>
      <c r="B47" s="3" t="s">
        <v>68</v>
      </c>
      <c r="C47" s="4">
        <f>+16.24</f>
        <v>16.24</v>
      </c>
      <c r="D47" s="3">
        <v>115.5</v>
      </c>
      <c r="E47" s="3">
        <v>99.3</v>
      </c>
      <c r="F47" s="4">
        <f t="shared" si="1"/>
        <v>0.8192463221</v>
      </c>
      <c r="G47" s="4">
        <f t="shared" si="2"/>
        <v>0.4754702824</v>
      </c>
      <c r="H47" s="3" t="s">
        <v>515</v>
      </c>
      <c r="I47" s="11">
        <v>1.3805472091</v>
      </c>
    </row>
    <row r="48">
      <c r="A48" s="3">
        <v>24.0</v>
      </c>
      <c r="B48" s="3" t="s">
        <v>25</v>
      </c>
      <c r="C48" s="4">
        <f>+17.23</f>
        <v>17.23</v>
      </c>
      <c r="D48" s="3">
        <v>111.2</v>
      </c>
      <c r="E48" s="3">
        <v>94.0</v>
      </c>
      <c r="F48" s="4">
        <f t="shared" si="1"/>
        <v>0.842951665</v>
      </c>
      <c r="G48" s="4">
        <f t="shared" si="2"/>
        <v>0.4335690516</v>
      </c>
      <c r="H48" s="3" t="s">
        <v>515</v>
      </c>
      <c r="I48" s="11">
        <v>1.34355811549999</v>
      </c>
    </row>
    <row r="49">
      <c r="A49" s="3">
        <v>38.0</v>
      </c>
      <c r="B49" s="3" t="s">
        <v>31</v>
      </c>
      <c r="C49" s="4">
        <f>+15.25</f>
        <v>15.25</v>
      </c>
      <c r="D49" s="3">
        <v>112.4</v>
      </c>
      <c r="E49" s="3">
        <v>97.2</v>
      </c>
      <c r="F49" s="4">
        <f t="shared" si="1"/>
        <v>0.8104493015</v>
      </c>
      <c r="G49" s="4">
        <f t="shared" si="2"/>
        <v>0.4900312278</v>
      </c>
      <c r="H49" s="3" t="s">
        <v>515</v>
      </c>
      <c r="I49" s="11">
        <v>1.32202373199999</v>
      </c>
    </row>
    <row r="50" hidden="1">
      <c r="A50" s="3">
        <v>49.0</v>
      </c>
      <c r="B50" s="3" t="s">
        <v>132</v>
      </c>
      <c r="C50" s="4">
        <f>+13.86</f>
        <v>13.86</v>
      </c>
      <c r="D50" s="3">
        <v>109.7</v>
      </c>
      <c r="E50" s="3">
        <v>95.8</v>
      </c>
      <c r="F50" s="4">
        <f t="shared" si="1"/>
        <v>0.7949241553</v>
      </c>
      <c r="G50" s="4">
        <f t="shared" si="2"/>
        <v>0.5145421633</v>
      </c>
    </row>
    <row r="51">
      <c r="A51" s="3">
        <v>19.0</v>
      </c>
      <c r="B51" s="3" t="s">
        <v>48</v>
      </c>
      <c r="C51" s="4">
        <f>+18.86</f>
        <v>18.86</v>
      </c>
      <c r="D51" s="3">
        <v>115.0</v>
      </c>
      <c r="E51" s="3">
        <v>96.1</v>
      </c>
      <c r="F51" s="4">
        <f t="shared" si="1"/>
        <v>0.8575914918</v>
      </c>
      <c r="G51" s="4">
        <f t="shared" si="2"/>
        <v>0.4055539055</v>
      </c>
      <c r="H51" s="3" t="s">
        <v>515</v>
      </c>
      <c r="I51" s="11">
        <v>0.9709708022</v>
      </c>
    </row>
    <row r="52">
      <c r="A52" s="3">
        <v>56.0</v>
      </c>
      <c r="B52" s="3" t="s">
        <v>41</v>
      </c>
      <c r="C52" s="4">
        <f>+13.06</f>
        <v>13.06</v>
      </c>
      <c r="D52" s="3">
        <v>109.2</v>
      </c>
      <c r="E52" s="3">
        <v>96.2</v>
      </c>
      <c r="F52" s="4">
        <f t="shared" si="1"/>
        <v>0.7803174126</v>
      </c>
      <c r="G52" s="4">
        <f t="shared" si="2"/>
        <v>0.5363196248</v>
      </c>
      <c r="H52" s="3" t="s">
        <v>515</v>
      </c>
      <c r="I52" s="11">
        <v>0.8520929345</v>
      </c>
    </row>
    <row r="53">
      <c r="A53" s="3">
        <v>51.0</v>
      </c>
      <c r="B53" s="3" t="s">
        <v>60</v>
      </c>
      <c r="C53" s="4">
        <f>+13.67</f>
        <v>13.67</v>
      </c>
      <c r="D53" s="3">
        <v>112.4</v>
      </c>
      <c r="E53" s="3">
        <v>98.8</v>
      </c>
      <c r="F53" s="4">
        <f t="shared" si="1"/>
        <v>0.7840901983</v>
      </c>
      <c r="G53" s="4">
        <f t="shared" si="2"/>
        <v>0.5308080627</v>
      </c>
      <c r="H53" s="3" t="s">
        <v>515</v>
      </c>
      <c r="I53" s="11">
        <v>0.4518009774</v>
      </c>
    </row>
    <row r="54" hidden="1">
      <c r="A54" s="3">
        <v>53.0</v>
      </c>
      <c r="B54" s="3" t="s">
        <v>114</v>
      </c>
      <c r="C54" s="4">
        <f>+13.36</f>
        <v>13.36</v>
      </c>
      <c r="D54" s="3">
        <v>111.2</v>
      </c>
      <c r="E54" s="3">
        <v>97.8</v>
      </c>
      <c r="F54" s="4">
        <f t="shared" si="1"/>
        <v>0.7831397541</v>
      </c>
      <c r="G54" s="4">
        <f t="shared" si="2"/>
        <v>0.5322038176</v>
      </c>
    </row>
    <row r="55">
      <c r="A55" s="3">
        <v>80.0</v>
      </c>
      <c r="B55" s="3" t="s">
        <v>27</v>
      </c>
      <c r="C55" s="4">
        <f>+10.61</f>
        <v>10.61</v>
      </c>
      <c r="D55" s="3">
        <v>107.1</v>
      </c>
      <c r="E55" s="3">
        <v>96.5</v>
      </c>
      <c r="F55" s="4">
        <f t="shared" si="1"/>
        <v>0.7392742149</v>
      </c>
      <c r="G55" s="4">
        <f t="shared" si="2"/>
        <v>0.5916648828</v>
      </c>
      <c r="H55" s="3" t="s">
        <v>515</v>
      </c>
      <c r="I55" s="12">
        <f>-0.345116445499999+2*(1-G174)+3*(1-G333)</f>
        <v>0.1737182658</v>
      </c>
    </row>
    <row r="56" hidden="1">
      <c r="A56" s="3">
        <v>55.0</v>
      </c>
      <c r="B56" s="3" t="s">
        <v>525</v>
      </c>
      <c r="C56" s="4">
        <f>+13.07</f>
        <v>13.07</v>
      </c>
      <c r="D56" s="3">
        <v>110.3</v>
      </c>
      <c r="E56" s="3">
        <v>97.2</v>
      </c>
      <c r="F56" s="4">
        <f t="shared" si="1"/>
        <v>0.7797709614</v>
      </c>
      <c r="G56" s="4">
        <f t="shared" si="2"/>
        <v>0.5371115584</v>
      </c>
    </row>
    <row r="57">
      <c r="A57" s="3">
        <v>67.0</v>
      </c>
      <c r="B57" s="3" t="s">
        <v>62</v>
      </c>
      <c r="C57" s="4">
        <f>+11.51</f>
        <v>11.51</v>
      </c>
      <c r="D57" s="3">
        <v>109.0</v>
      </c>
      <c r="E57" s="3">
        <v>97.5</v>
      </c>
      <c r="F57" s="4">
        <f t="shared" si="1"/>
        <v>0.75305173</v>
      </c>
      <c r="G57" s="4">
        <f t="shared" si="2"/>
        <v>0.5739772087</v>
      </c>
      <c r="H57" s="3" t="s">
        <v>515</v>
      </c>
      <c r="I57" s="11">
        <v>0.1081265288</v>
      </c>
    </row>
    <row r="58" hidden="1">
      <c r="A58" s="3">
        <v>57.0</v>
      </c>
      <c r="B58" s="3" t="s">
        <v>258</v>
      </c>
      <c r="C58" s="4">
        <f>+12.98</f>
        <v>12.98</v>
      </c>
      <c r="D58" s="3">
        <v>105.8</v>
      </c>
      <c r="E58" s="3">
        <v>92.8</v>
      </c>
      <c r="F58" s="4">
        <f t="shared" si="1"/>
        <v>0.7876869322</v>
      </c>
      <c r="G58" s="4">
        <f t="shared" si="2"/>
        <v>0.5254811785</v>
      </c>
    </row>
    <row r="59" hidden="1">
      <c r="A59" s="3">
        <v>58.0</v>
      </c>
      <c r="B59" s="3" t="s">
        <v>524</v>
      </c>
      <c r="C59" s="4">
        <f>+12.94</f>
        <v>12.94</v>
      </c>
      <c r="D59" s="3">
        <v>110.1</v>
      </c>
      <c r="E59" s="3">
        <v>97.2</v>
      </c>
      <c r="F59" s="4">
        <f t="shared" si="1"/>
        <v>0.7766384769</v>
      </c>
      <c r="G59" s="4">
        <f t="shared" si="2"/>
        <v>0.5416206081</v>
      </c>
    </row>
    <row r="60" hidden="1">
      <c r="A60" s="3">
        <v>59.0</v>
      </c>
      <c r="B60" s="3" t="s">
        <v>141</v>
      </c>
      <c r="C60" s="4">
        <f>+12.67</f>
        <v>12.67</v>
      </c>
      <c r="D60" s="3">
        <v>110.2</v>
      </c>
      <c r="E60" s="3">
        <v>97.6</v>
      </c>
      <c r="F60" s="4">
        <f t="shared" si="1"/>
        <v>0.7710401935</v>
      </c>
      <c r="G60" s="4">
        <f t="shared" si="2"/>
        <v>0.549551281</v>
      </c>
    </row>
    <row r="61" hidden="1">
      <c r="A61" s="3">
        <v>60.0</v>
      </c>
      <c r="B61" s="3" t="s">
        <v>103</v>
      </c>
      <c r="C61" s="4">
        <f>+12.63</f>
        <v>12.63</v>
      </c>
      <c r="D61" s="3">
        <v>109.8</v>
      </c>
      <c r="E61" s="3">
        <v>97.1</v>
      </c>
      <c r="F61" s="4">
        <f t="shared" si="1"/>
        <v>0.7736770431</v>
      </c>
      <c r="G61" s="4">
        <f t="shared" si="2"/>
        <v>0.5458360373</v>
      </c>
    </row>
    <row r="62" hidden="1">
      <c r="A62" s="3">
        <v>61.0</v>
      </c>
      <c r="B62" s="3" t="s">
        <v>109</v>
      </c>
      <c r="C62" s="4">
        <f>+12.6</f>
        <v>12.6</v>
      </c>
      <c r="D62" s="3">
        <v>109.6</v>
      </c>
      <c r="E62" s="3">
        <v>97.0</v>
      </c>
      <c r="F62" s="4">
        <f t="shared" si="1"/>
        <v>0.7722859064</v>
      </c>
      <c r="G62" s="4">
        <f t="shared" si="2"/>
        <v>0.5478005522</v>
      </c>
    </row>
    <row r="63" hidden="1">
      <c r="A63" s="3">
        <v>62.0</v>
      </c>
      <c r="B63" s="3" t="s">
        <v>543</v>
      </c>
      <c r="C63" s="4">
        <f>+12.59</f>
        <v>12.59</v>
      </c>
      <c r="D63" s="3">
        <v>108.9</v>
      </c>
      <c r="E63" s="3">
        <v>96.3</v>
      </c>
      <c r="F63" s="4">
        <f t="shared" si="1"/>
        <v>0.7737515528</v>
      </c>
      <c r="G63" s="4">
        <f t="shared" si="2"/>
        <v>0.5457305359</v>
      </c>
    </row>
    <row r="64" hidden="1">
      <c r="A64" s="3">
        <v>63.0</v>
      </c>
      <c r="B64" s="3" t="s">
        <v>119</v>
      </c>
      <c r="C64" s="4">
        <f>+12.31</f>
        <v>12.31</v>
      </c>
      <c r="D64" s="3">
        <v>101.1</v>
      </c>
      <c r="E64" s="3">
        <v>88.8</v>
      </c>
      <c r="F64" s="4">
        <f t="shared" si="1"/>
        <v>0.7853692299</v>
      </c>
      <c r="G64" s="4">
        <f t="shared" si="2"/>
        <v>0.5289219597</v>
      </c>
    </row>
    <row r="65" hidden="1">
      <c r="A65" s="3">
        <v>64.0</v>
      </c>
      <c r="B65" s="3" t="s">
        <v>163</v>
      </c>
      <c r="C65" s="4">
        <f>+12.27</f>
        <v>12.27</v>
      </c>
      <c r="D65" s="3">
        <v>107.2</v>
      </c>
      <c r="E65" s="3">
        <v>94.9</v>
      </c>
      <c r="F65" s="4">
        <f t="shared" si="1"/>
        <v>0.771839171</v>
      </c>
      <c r="G65" s="4">
        <f t="shared" si="2"/>
        <v>0.5484293078</v>
      </c>
    </row>
    <row r="66" hidden="1">
      <c r="A66" s="3">
        <v>65.0</v>
      </c>
      <c r="B66" s="3" t="s">
        <v>321</v>
      </c>
      <c r="C66" s="4">
        <f>+11.94</f>
        <v>11.94</v>
      </c>
      <c r="D66" s="3">
        <v>109.1</v>
      </c>
      <c r="E66" s="3">
        <v>97.2</v>
      </c>
      <c r="F66" s="4">
        <f t="shared" si="1"/>
        <v>0.7604124015</v>
      </c>
      <c r="G66" s="4">
        <f t="shared" si="2"/>
        <v>0.5641716491</v>
      </c>
    </row>
    <row r="67" hidden="1">
      <c r="A67" s="3">
        <v>66.0</v>
      </c>
      <c r="B67" s="3" t="s">
        <v>96</v>
      </c>
      <c r="C67" s="4">
        <f>+11.76</f>
        <v>11.76</v>
      </c>
      <c r="D67" s="3">
        <v>108.3</v>
      </c>
      <c r="E67" s="3">
        <v>96.6</v>
      </c>
      <c r="F67" s="4">
        <f t="shared" si="1"/>
        <v>0.7582784326</v>
      </c>
      <c r="G67" s="4">
        <f t="shared" si="2"/>
        <v>0.5670407992</v>
      </c>
    </row>
    <row r="68">
      <c r="A68" s="3">
        <v>48.0</v>
      </c>
      <c r="B68" s="3" t="s">
        <v>44</v>
      </c>
      <c r="C68" s="4">
        <f>+14.04</f>
        <v>14.04</v>
      </c>
      <c r="D68" s="3">
        <v>107.0</v>
      </c>
      <c r="E68" s="3">
        <v>92.9</v>
      </c>
      <c r="F68" s="4">
        <f t="shared" si="1"/>
        <v>0.80424686</v>
      </c>
      <c r="G68" s="4">
        <f t="shared" si="2"/>
        <v>0.5</v>
      </c>
      <c r="H68" s="3" t="s">
        <v>515</v>
      </c>
      <c r="I68" s="11">
        <v>0.0506868312000001</v>
      </c>
    </row>
    <row r="69" hidden="1">
      <c r="A69" s="3">
        <v>68.0</v>
      </c>
      <c r="B69" s="3" t="s">
        <v>353</v>
      </c>
      <c r="C69" s="4">
        <f t="shared" ref="C69:C70" si="4">+11.45</f>
        <v>11.45</v>
      </c>
      <c r="D69" s="3">
        <v>109.3</v>
      </c>
      <c r="E69" s="3">
        <v>97.8</v>
      </c>
      <c r="F69" s="4">
        <f t="shared" si="1"/>
        <v>0.7524492948</v>
      </c>
      <c r="G69" s="4">
        <f t="shared" si="2"/>
        <v>0.5747685196</v>
      </c>
    </row>
    <row r="70" hidden="1">
      <c r="A70" s="3">
        <v>69.0</v>
      </c>
      <c r="B70" s="3" t="s">
        <v>262</v>
      </c>
      <c r="C70" s="4">
        <f t="shared" si="4"/>
        <v>11.45</v>
      </c>
      <c r="D70" s="3">
        <v>115.4</v>
      </c>
      <c r="E70" s="3">
        <v>104.0</v>
      </c>
      <c r="F70" s="4">
        <f t="shared" si="1"/>
        <v>0.7388759666</v>
      </c>
      <c r="G70" s="4">
        <f t="shared" si="2"/>
        <v>0.5921637213</v>
      </c>
    </row>
    <row r="71" hidden="1">
      <c r="A71" s="3">
        <v>70.0</v>
      </c>
      <c r="B71" s="3" t="s">
        <v>537</v>
      </c>
      <c r="C71" s="4">
        <f>+11.4</f>
        <v>11.4</v>
      </c>
      <c r="D71" s="3">
        <v>113.2</v>
      </c>
      <c r="E71" s="3">
        <v>101.7</v>
      </c>
      <c r="F71" s="4">
        <f t="shared" si="1"/>
        <v>0.7448418998</v>
      </c>
      <c r="G71" s="4">
        <f t="shared" si="2"/>
        <v>0.584618776</v>
      </c>
    </row>
    <row r="72" hidden="1">
      <c r="A72" s="3">
        <v>71.0</v>
      </c>
      <c r="B72" s="3" t="s">
        <v>133</v>
      </c>
      <c r="C72" s="4">
        <f>+11.36</f>
        <v>11.36</v>
      </c>
      <c r="D72" s="3">
        <v>110.1</v>
      </c>
      <c r="E72" s="3">
        <v>98.8</v>
      </c>
      <c r="F72" s="4">
        <f t="shared" si="1"/>
        <v>0.7470451082</v>
      </c>
      <c r="G72" s="4">
        <f t="shared" si="2"/>
        <v>0.5817928315</v>
      </c>
    </row>
    <row r="73" hidden="1">
      <c r="A73" s="3">
        <v>72.0</v>
      </c>
      <c r="B73" s="3" t="s">
        <v>98</v>
      </c>
      <c r="C73" s="4">
        <f>+11.23</f>
        <v>11.23</v>
      </c>
      <c r="D73" s="3">
        <v>107.6</v>
      </c>
      <c r="E73" s="3">
        <v>96.4</v>
      </c>
      <c r="F73" s="4">
        <f t="shared" si="1"/>
        <v>0.7500997691</v>
      </c>
      <c r="G73" s="4">
        <f t="shared" si="2"/>
        <v>0.5778387316</v>
      </c>
    </row>
    <row r="74" hidden="1">
      <c r="A74" s="3">
        <v>73.0</v>
      </c>
      <c r="B74" s="3" t="s">
        <v>534</v>
      </c>
      <c r="C74" s="4">
        <f>+11.14</f>
        <v>11.14</v>
      </c>
      <c r="D74" s="3">
        <v>105.5</v>
      </c>
      <c r="E74" s="3">
        <v>94.4</v>
      </c>
      <c r="F74" s="4">
        <f t="shared" si="1"/>
        <v>0.7524456842</v>
      </c>
      <c r="G74" s="4">
        <f t="shared" si="2"/>
        <v>0.5747732572</v>
      </c>
    </row>
    <row r="75" hidden="1">
      <c r="A75" s="3">
        <v>74.0</v>
      </c>
      <c r="B75" s="3" t="s">
        <v>99</v>
      </c>
      <c r="C75" s="4">
        <f>+11.02</f>
        <v>11.02</v>
      </c>
      <c r="D75" s="3">
        <v>113.9</v>
      </c>
      <c r="E75" s="3">
        <v>102.9</v>
      </c>
      <c r="F75" s="4">
        <f t="shared" si="1"/>
        <v>0.7341209471</v>
      </c>
      <c r="G75" s="4">
        <f t="shared" si="2"/>
        <v>0.5980675361</v>
      </c>
    </row>
    <row r="76" hidden="1">
      <c r="A76" s="3">
        <v>75.0</v>
      </c>
      <c r="B76" s="3" t="s">
        <v>309</v>
      </c>
      <c r="C76" s="4">
        <f>+10.91</f>
        <v>10.91</v>
      </c>
      <c r="D76" s="3">
        <v>109.6</v>
      </c>
      <c r="E76" s="3">
        <v>98.7</v>
      </c>
      <c r="F76" s="4">
        <f t="shared" si="1"/>
        <v>0.7402992098</v>
      </c>
      <c r="G76" s="4">
        <f t="shared" si="2"/>
        <v>0.5903778498</v>
      </c>
    </row>
    <row r="77" hidden="1">
      <c r="A77" s="3">
        <v>76.0</v>
      </c>
      <c r="B77" s="3" t="s">
        <v>283</v>
      </c>
      <c r="C77" s="4">
        <f>+10.83</f>
        <v>10.83</v>
      </c>
      <c r="D77" s="3">
        <v>111.8</v>
      </c>
      <c r="E77" s="3">
        <v>101.0</v>
      </c>
      <c r="F77" s="4">
        <f t="shared" si="1"/>
        <v>0.7341752374</v>
      </c>
      <c r="G77" s="4">
        <f t="shared" si="2"/>
        <v>0.5980006688</v>
      </c>
    </row>
    <row r="78" hidden="1">
      <c r="A78" s="3">
        <v>77.0</v>
      </c>
      <c r="B78" s="3" t="s">
        <v>275</v>
      </c>
      <c r="C78" s="4">
        <f>+10.82</f>
        <v>10.82</v>
      </c>
      <c r="D78" s="3">
        <v>106.9</v>
      </c>
      <c r="E78" s="3">
        <v>96.1</v>
      </c>
      <c r="F78" s="4">
        <f t="shared" si="1"/>
        <v>0.7436534743</v>
      </c>
      <c r="G78" s="4">
        <f t="shared" si="2"/>
        <v>0.5861341657</v>
      </c>
    </row>
    <row r="79" hidden="1">
      <c r="A79" s="3">
        <v>78.0</v>
      </c>
      <c r="B79" s="3" t="s">
        <v>277</v>
      </c>
      <c r="C79" s="4">
        <f>+10.71</f>
        <v>10.71</v>
      </c>
      <c r="D79" s="3">
        <v>109.2</v>
      </c>
      <c r="E79" s="3">
        <v>98.5</v>
      </c>
      <c r="F79" s="4">
        <f t="shared" si="1"/>
        <v>0.7371572232</v>
      </c>
      <c r="G79" s="4">
        <f t="shared" si="2"/>
        <v>0.5943087914</v>
      </c>
    </row>
    <row r="80" hidden="1">
      <c r="A80" s="3">
        <v>79.0</v>
      </c>
      <c r="B80" s="3" t="s">
        <v>142</v>
      </c>
      <c r="C80" s="4">
        <f>+10.64</f>
        <v>10.64</v>
      </c>
      <c r="D80" s="3">
        <v>106.5</v>
      </c>
      <c r="E80" s="3">
        <v>95.9</v>
      </c>
      <c r="F80" s="4">
        <f t="shared" si="1"/>
        <v>0.7404656214</v>
      </c>
      <c r="G80" s="4">
        <f t="shared" si="2"/>
        <v>0.5901684671</v>
      </c>
    </row>
    <row r="81">
      <c r="A81" s="3">
        <v>27.0</v>
      </c>
      <c r="B81" s="3" t="s">
        <v>65</v>
      </c>
      <c r="C81" s="4">
        <f>+16.61</f>
        <v>16.61</v>
      </c>
      <c r="D81" s="3">
        <v>113.9</v>
      </c>
      <c r="E81" s="3">
        <v>97.2</v>
      </c>
      <c r="F81" s="4">
        <f t="shared" si="1"/>
        <v>0.8299822667</v>
      </c>
      <c r="G81" s="4">
        <f t="shared" si="2"/>
        <v>0.4569941003</v>
      </c>
      <c r="H81" s="3" t="s">
        <v>515</v>
      </c>
      <c r="I81" s="11">
        <v>-0.0221307675999997</v>
      </c>
    </row>
    <row r="82">
      <c r="A82" s="3">
        <v>54.0</v>
      </c>
      <c r="B82" s="3" t="s">
        <v>29</v>
      </c>
      <c r="C82" s="4">
        <f>+13.2</f>
        <v>13.2</v>
      </c>
      <c r="D82" s="3">
        <v>111.1</v>
      </c>
      <c r="E82" s="3">
        <v>97.9</v>
      </c>
      <c r="F82" s="4">
        <f t="shared" si="1"/>
        <v>0.7798584141</v>
      </c>
      <c r="G82" s="4">
        <f t="shared" si="2"/>
        <v>0.5369849266</v>
      </c>
      <c r="H82" s="3" t="s">
        <v>515</v>
      </c>
      <c r="I82" s="11">
        <v>-0.528505786999999</v>
      </c>
    </row>
    <row r="83" hidden="1">
      <c r="A83" s="3">
        <v>82.0</v>
      </c>
      <c r="B83" s="3" t="s">
        <v>149</v>
      </c>
      <c r="C83" s="4">
        <f>+10.33</f>
        <v>10.33</v>
      </c>
      <c r="D83" s="3">
        <v>110.0</v>
      </c>
      <c r="E83" s="3">
        <v>99.6</v>
      </c>
      <c r="F83" s="4">
        <f t="shared" si="1"/>
        <v>0.7297159709</v>
      </c>
      <c r="G83" s="4">
        <f t="shared" si="2"/>
        <v>0.6034521115</v>
      </c>
    </row>
    <row r="84" hidden="1">
      <c r="A84" s="3">
        <v>83.0</v>
      </c>
      <c r="B84" s="3" t="s">
        <v>95</v>
      </c>
      <c r="C84" s="4">
        <f>+10.06</f>
        <v>10.06</v>
      </c>
      <c r="D84" s="3">
        <v>109.4</v>
      </c>
      <c r="E84" s="3">
        <v>99.3</v>
      </c>
      <c r="F84" s="4">
        <f t="shared" si="1"/>
        <v>0.7248509685</v>
      </c>
      <c r="G84" s="4">
        <f t="shared" si="2"/>
        <v>0.6093066516</v>
      </c>
    </row>
    <row r="85" hidden="1">
      <c r="A85" s="3">
        <v>84.0</v>
      </c>
      <c r="B85" s="3" t="s">
        <v>111</v>
      </c>
      <c r="C85" s="4">
        <f>+9.48</f>
        <v>9.48</v>
      </c>
      <c r="D85" s="3">
        <v>108.8</v>
      </c>
      <c r="E85" s="3">
        <v>99.3</v>
      </c>
      <c r="F85" s="4">
        <f t="shared" si="1"/>
        <v>0.7137480443</v>
      </c>
      <c r="G85" s="4">
        <f t="shared" si="2"/>
        <v>0.6223169677</v>
      </c>
    </row>
    <row r="86">
      <c r="A86" s="3">
        <v>85.0</v>
      </c>
      <c r="B86" s="3" t="s">
        <v>78</v>
      </c>
      <c r="C86" s="4">
        <f>+9.45</f>
        <v>9.45</v>
      </c>
      <c r="D86" s="3">
        <v>108.1</v>
      </c>
      <c r="E86" s="3">
        <v>98.7</v>
      </c>
      <c r="F86" s="4">
        <f t="shared" si="1"/>
        <v>0.7129424088</v>
      </c>
      <c r="G86" s="4">
        <f t="shared" si="2"/>
        <v>0.6232425376</v>
      </c>
      <c r="H86" s="3" t="s">
        <v>515</v>
      </c>
      <c r="I86" s="11">
        <v>-1.09770265739999</v>
      </c>
    </row>
    <row r="87" hidden="1">
      <c r="A87" s="3">
        <v>86.0</v>
      </c>
      <c r="B87" s="3" t="s">
        <v>288</v>
      </c>
      <c r="C87" s="4">
        <f>+9.43</f>
        <v>9.43</v>
      </c>
      <c r="D87" s="3">
        <v>108.5</v>
      </c>
      <c r="E87" s="3">
        <v>99.0</v>
      </c>
      <c r="F87" s="4">
        <f t="shared" si="1"/>
        <v>0.7142882646</v>
      </c>
      <c r="G87" s="4">
        <f t="shared" si="2"/>
        <v>0.62169495</v>
      </c>
    </row>
    <row r="88" hidden="1">
      <c r="A88" s="3">
        <v>87.0</v>
      </c>
      <c r="B88" s="3" t="s">
        <v>123</v>
      </c>
      <c r="C88" s="4">
        <f>+9.38</f>
        <v>9.38</v>
      </c>
      <c r="D88" s="3">
        <v>106.6</v>
      </c>
      <c r="E88" s="3">
        <v>97.2</v>
      </c>
      <c r="F88" s="4">
        <f t="shared" si="1"/>
        <v>0.7156790289</v>
      </c>
      <c r="G88" s="4">
        <f t="shared" si="2"/>
        <v>0.6200885011</v>
      </c>
    </row>
    <row r="89" hidden="1">
      <c r="A89" s="3">
        <v>88.0</v>
      </c>
      <c r="B89" s="3" t="s">
        <v>117</v>
      </c>
      <c r="C89" s="4">
        <f>+9.31</f>
        <v>9.31</v>
      </c>
      <c r="D89" s="3">
        <v>105.3</v>
      </c>
      <c r="E89" s="3">
        <v>96.0</v>
      </c>
      <c r="F89" s="4">
        <f t="shared" si="1"/>
        <v>0.71598909</v>
      </c>
      <c r="G89" s="4">
        <f t="shared" si="2"/>
        <v>0.6197293488</v>
      </c>
    </row>
    <row r="90" hidden="1">
      <c r="A90" s="3">
        <v>89.0</v>
      </c>
      <c r="B90" s="3" t="s">
        <v>120</v>
      </c>
      <c r="C90" s="4">
        <f>+8.95</f>
        <v>8.95</v>
      </c>
      <c r="D90" s="3">
        <v>108.0</v>
      </c>
      <c r="E90" s="3">
        <v>99.0</v>
      </c>
      <c r="F90" s="4">
        <f t="shared" si="1"/>
        <v>0.7047693706</v>
      </c>
      <c r="G90" s="4">
        <f t="shared" si="2"/>
        <v>0.6324956334</v>
      </c>
    </row>
    <row r="91" hidden="1">
      <c r="A91" s="3">
        <v>90.0</v>
      </c>
      <c r="B91" s="3" t="s">
        <v>526</v>
      </c>
      <c r="C91" s="4">
        <f>+8.79</f>
        <v>8.79</v>
      </c>
      <c r="D91" s="3">
        <v>107.5</v>
      </c>
      <c r="E91" s="3">
        <v>98.7</v>
      </c>
      <c r="F91" s="4">
        <f t="shared" si="1"/>
        <v>0.7014179189</v>
      </c>
      <c r="G91" s="4">
        <f t="shared" si="2"/>
        <v>0.636219479</v>
      </c>
    </row>
    <row r="92" hidden="1">
      <c r="A92" s="3">
        <v>91.0</v>
      </c>
      <c r="B92" s="3" t="s">
        <v>285</v>
      </c>
      <c r="C92" s="4">
        <f>+8.45</f>
        <v>8.45</v>
      </c>
      <c r="D92" s="3">
        <v>110.6</v>
      </c>
      <c r="E92" s="3">
        <v>102.2</v>
      </c>
      <c r="F92" s="4">
        <f t="shared" si="1"/>
        <v>0.6878064469</v>
      </c>
      <c r="G92" s="4">
        <f t="shared" si="2"/>
        <v>0.6509386658</v>
      </c>
    </row>
    <row r="93" hidden="1">
      <c r="A93" s="3">
        <v>92.0</v>
      </c>
      <c r="B93" s="3" t="s">
        <v>434</v>
      </c>
      <c r="C93" s="4">
        <f>+8.22</f>
        <v>8.22</v>
      </c>
      <c r="D93" s="3">
        <v>106.6</v>
      </c>
      <c r="E93" s="3">
        <v>98.4</v>
      </c>
      <c r="F93" s="4">
        <f t="shared" si="1"/>
        <v>0.6900658296</v>
      </c>
      <c r="G93" s="4">
        <f t="shared" si="2"/>
        <v>0.6485393239</v>
      </c>
    </row>
    <row r="94" hidden="1">
      <c r="A94" s="3">
        <v>93.0</v>
      </c>
      <c r="B94" s="3" t="s">
        <v>122</v>
      </c>
      <c r="C94" s="4">
        <f t="shared" ref="C94:C95" si="5">+8.11</f>
        <v>8.11</v>
      </c>
      <c r="D94" s="3">
        <v>104.7</v>
      </c>
      <c r="E94" s="3">
        <v>96.5</v>
      </c>
      <c r="F94" s="4">
        <f t="shared" si="1"/>
        <v>0.6932932723</v>
      </c>
      <c r="G94" s="4">
        <f t="shared" si="2"/>
        <v>0.6450820291</v>
      </c>
    </row>
    <row r="95" hidden="1">
      <c r="A95" s="3">
        <v>94.0</v>
      </c>
      <c r="B95" s="3" t="s">
        <v>530</v>
      </c>
      <c r="C95" s="4">
        <f t="shared" si="5"/>
        <v>8.11</v>
      </c>
      <c r="D95" s="3">
        <v>104.0</v>
      </c>
      <c r="E95" s="3">
        <v>95.9</v>
      </c>
      <c r="F95" s="4">
        <f t="shared" si="1"/>
        <v>0.6922904283</v>
      </c>
      <c r="G95" s="4">
        <f t="shared" si="2"/>
        <v>0.6461600906</v>
      </c>
    </row>
    <row r="96" hidden="1">
      <c r="A96" s="3">
        <v>95.0</v>
      </c>
      <c r="B96" s="3" t="s">
        <v>306</v>
      </c>
      <c r="C96" s="4">
        <f>+8.04</f>
        <v>8.04</v>
      </c>
      <c r="D96" s="3">
        <v>110.2</v>
      </c>
      <c r="E96" s="3">
        <v>102.1</v>
      </c>
      <c r="F96" s="4">
        <f t="shared" si="1"/>
        <v>0.6821005006</v>
      </c>
      <c r="G96" s="4">
        <f t="shared" si="2"/>
        <v>0.6569226102</v>
      </c>
    </row>
    <row r="97" hidden="1">
      <c r="A97" s="3">
        <v>96.0</v>
      </c>
      <c r="B97" s="3" t="s">
        <v>250</v>
      </c>
      <c r="C97" s="4">
        <f>+7.99</f>
        <v>7.99</v>
      </c>
      <c r="D97" s="3">
        <v>104.8</v>
      </c>
      <c r="E97" s="3">
        <v>96.8</v>
      </c>
      <c r="F97" s="4">
        <f t="shared" si="1"/>
        <v>0.6887040929</v>
      </c>
      <c r="G97" s="4">
        <f t="shared" si="2"/>
        <v>0.6499874651</v>
      </c>
    </row>
    <row r="98" hidden="1">
      <c r="A98" s="3">
        <v>97.0</v>
      </c>
      <c r="B98" s="3" t="s">
        <v>121</v>
      </c>
      <c r="C98" s="4">
        <f>+7.94</f>
        <v>7.94</v>
      </c>
      <c r="D98" s="3">
        <v>101.2</v>
      </c>
      <c r="E98" s="3">
        <v>93.2</v>
      </c>
      <c r="F98" s="4">
        <f t="shared" si="1"/>
        <v>0.6949809818</v>
      </c>
      <c r="G98" s="4">
        <f t="shared" si="2"/>
        <v>0.6432599455</v>
      </c>
    </row>
    <row r="99" hidden="1">
      <c r="A99" s="3">
        <v>98.0</v>
      </c>
      <c r="B99" s="3" t="s">
        <v>304</v>
      </c>
      <c r="C99" s="4">
        <f>+7.79</f>
        <v>7.79</v>
      </c>
      <c r="D99" s="3">
        <v>108.8</v>
      </c>
      <c r="E99" s="3">
        <v>101.0</v>
      </c>
      <c r="F99" s="4">
        <f t="shared" si="1"/>
        <v>0.6778498748</v>
      </c>
      <c r="G99" s="4">
        <f t="shared" si="2"/>
        <v>0.6613113951</v>
      </c>
    </row>
    <row r="100" hidden="1">
      <c r="A100" s="3">
        <v>99.0</v>
      </c>
      <c r="B100" s="3" t="s">
        <v>148</v>
      </c>
      <c r="C100" s="4">
        <f>+7.53</f>
        <v>7.53</v>
      </c>
      <c r="D100" s="3">
        <v>101.5</v>
      </c>
      <c r="E100" s="3">
        <v>93.9</v>
      </c>
      <c r="F100" s="4">
        <f t="shared" si="1"/>
        <v>0.6853101853</v>
      </c>
      <c r="G100" s="4">
        <f t="shared" si="2"/>
        <v>0.6535697507</v>
      </c>
    </row>
    <row r="101" hidden="1">
      <c r="A101" s="3">
        <v>100.0</v>
      </c>
      <c r="B101" s="3" t="s">
        <v>271</v>
      </c>
      <c r="C101" s="4">
        <f>+7.3</f>
        <v>7.3</v>
      </c>
      <c r="D101" s="3">
        <v>105.6</v>
      </c>
      <c r="E101" s="3">
        <v>98.3</v>
      </c>
      <c r="F101" s="4">
        <f t="shared" si="1"/>
        <v>0.6718013103</v>
      </c>
      <c r="G101" s="4">
        <f t="shared" si="2"/>
        <v>0.6674575885</v>
      </c>
    </row>
    <row r="102" hidden="1">
      <c r="A102" s="3">
        <v>101.0</v>
      </c>
      <c r="B102" s="3" t="s">
        <v>232</v>
      </c>
      <c r="C102" s="4">
        <f>+7.24</f>
        <v>7.24</v>
      </c>
      <c r="D102" s="3">
        <v>104.6</v>
      </c>
      <c r="E102" s="3">
        <v>97.3</v>
      </c>
      <c r="F102" s="4">
        <f t="shared" si="1"/>
        <v>0.6733653153</v>
      </c>
      <c r="G102" s="4">
        <f t="shared" si="2"/>
        <v>0.665879332</v>
      </c>
    </row>
    <row r="103">
      <c r="A103" s="3">
        <v>145.0</v>
      </c>
      <c r="B103" s="3" t="s">
        <v>67</v>
      </c>
      <c r="C103" s="4">
        <f>+2.22</f>
        <v>2.22</v>
      </c>
      <c r="D103" s="3">
        <v>105.9</v>
      </c>
      <c r="E103" s="3">
        <v>103.7</v>
      </c>
      <c r="F103" s="4">
        <f t="shared" si="1"/>
        <v>0.5522909407</v>
      </c>
      <c r="G103" s="4">
        <f t="shared" si="2"/>
        <v>0.7690794401</v>
      </c>
      <c r="H103" s="3" t="s">
        <v>515</v>
      </c>
      <c r="I103" s="11">
        <v>-2.25123554319999</v>
      </c>
    </row>
    <row r="104" hidden="1">
      <c r="A104" s="3">
        <v>103.0</v>
      </c>
      <c r="B104" s="3" t="s">
        <v>455</v>
      </c>
      <c r="C104" s="4">
        <f>+6.74</f>
        <v>6.74</v>
      </c>
      <c r="D104" s="3">
        <v>106.9</v>
      </c>
      <c r="E104" s="3">
        <v>100.2</v>
      </c>
      <c r="F104" s="4">
        <f t="shared" si="1"/>
        <v>0.6563919087</v>
      </c>
      <c r="G104" s="4">
        <f t="shared" si="2"/>
        <v>0.682610695</v>
      </c>
    </row>
    <row r="105" hidden="1">
      <c r="A105" s="3">
        <v>104.0</v>
      </c>
      <c r="B105" s="3" t="s">
        <v>251</v>
      </c>
      <c r="C105" s="4">
        <f>+6.27</f>
        <v>6.27</v>
      </c>
      <c r="D105" s="3">
        <v>106.6</v>
      </c>
      <c r="E105" s="3">
        <v>100.3</v>
      </c>
      <c r="F105" s="4">
        <f t="shared" si="1"/>
        <v>0.6477533082</v>
      </c>
      <c r="G105" s="4">
        <f t="shared" si="2"/>
        <v>0.6908024967</v>
      </c>
    </row>
    <row r="106" hidden="1">
      <c r="A106" s="3">
        <v>105.0</v>
      </c>
      <c r="B106" s="3" t="s">
        <v>549</v>
      </c>
      <c r="C106" s="4">
        <f>+6.2</f>
        <v>6.2</v>
      </c>
      <c r="D106" s="3">
        <v>105.3</v>
      </c>
      <c r="E106" s="3">
        <v>99.1</v>
      </c>
      <c r="F106" s="4">
        <f t="shared" si="1"/>
        <v>0.6472195761</v>
      </c>
      <c r="G106" s="4">
        <f t="shared" si="2"/>
        <v>0.6913017407</v>
      </c>
    </row>
    <row r="107" hidden="1">
      <c r="A107" s="3">
        <v>106.0</v>
      </c>
      <c r="B107" s="3" t="s">
        <v>280</v>
      </c>
      <c r="C107" s="4">
        <f>+6.09</f>
        <v>6.09</v>
      </c>
      <c r="D107" s="3">
        <v>105.2</v>
      </c>
      <c r="E107" s="3">
        <v>99.1</v>
      </c>
      <c r="F107" s="4">
        <f t="shared" si="1"/>
        <v>0.6450471817</v>
      </c>
      <c r="G107" s="4">
        <f t="shared" si="2"/>
        <v>0.6933256351</v>
      </c>
    </row>
    <row r="108" hidden="1">
      <c r="A108" s="3">
        <v>107.0</v>
      </c>
      <c r="B108" s="3" t="s">
        <v>104</v>
      </c>
      <c r="C108" s="4">
        <f>+6.03</f>
        <v>6.03</v>
      </c>
      <c r="D108" s="3">
        <v>112.3</v>
      </c>
      <c r="E108" s="3">
        <v>106.3</v>
      </c>
      <c r="F108" s="4">
        <f t="shared" si="1"/>
        <v>0.6339234553</v>
      </c>
      <c r="G108" s="4">
        <f t="shared" si="2"/>
        <v>0.7034886244</v>
      </c>
    </row>
    <row r="109" hidden="1">
      <c r="A109" s="3">
        <v>108.0</v>
      </c>
      <c r="B109" s="3" t="s">
        <v>266</v>
      </c>
      <c r="C109" s="4">
        <f>+6.02</f>
        <v>6.02</v>
      </c>
      <c r="D109" s="3">
        <v>105.7</v>
      </c>
      <c r="E109" s="3">
        <v>99.7</v>
      </c>
      <c r="F109" s="4">
        <f t="shared" si="1"/>
        <v>0.6420774147</v>
      </c>
      <c r="G109" s="4">
        <f t="shared" si="2"/>
        <v>0.6960714616</v>
      </c>
    </row>
    <row r="110" hidden="1">
      <c r="A110" s="3">
        <v>109.0</v>
      </c>
      <c r="B110" s="3" t="s">
        <v>260</v>
      </c>
      <c r="C110" s="4">
        <f>+5.18</f>
        <v>5.18</v>
      </c>
      <c r="D110" s="3">
        <v>107.1</v>
      </c>
      <c r="E110" s="3">
        <v>101.9</v>
      </c>
      <c r="F110" s="4">
        <f t="shared" si="1"/>
        <v>0.6219211095</v>
      </c>
      <c r="G110" s="4">
        <f t="shared" si="2"/>
        <v>0.714091957</v>
      </c>
    </row>
    <row r="111" hidden="1">
      <c r="A111" s="3">
        <v>110.0</v>
      </c>
      <c r="B111" s="3" t="s">
        <v>247</v>
      </c>
      <c r="C111" s="4">
        <f>+5.17</f>
        <v>5.17</v>
      </c>
      <c r="D111" s="3">
        <v>104.1</v>
      </c>
      <c r="E111" s="3">
        <v>98.9</v>
      </c>
      <c r="F111" s="4">
        <f t="shared" si="1"/>
        <v>0.625375334</v>
      </c>
      <c r="G111" s="4">
        <f t="shared" si="2"/>
        <v>0.711077824</v>
      </c>
    </row>
    <row r="112" hidden="1">
      <c r="A112" s="3">
        <v>111.0</v>
      </c>
      <c r="B112" s="3" t="s">
        <v>169</v>
      </c>
      <c r="C112" s="4">
        <f>+5.03</f>
        <v>5.03</v>
      </c>
      <c r="D112" s="3">
        <v>106.5</v>
      </c>
      <c r="E112" s="3">
        <v>101.5</v>
      </c>
      <c r="F112" s="4">
        <f t="shared" si="1"/>
        <v>0.6179513714</v>
      </c>
      <c r="G112" s="4">
        <f t="shared" si="2"/>
        <v>0.7175193817</v>
      </c>
    </row>
    <row r="113" hidden="1">
      <c r="A113" s="3">
        <v>112.0</v>
      </c>
      <c r="B113" s="3" t="s">
        <v>143</v>
      </c>
      <c r="C113" s="4">
        <f>+4.9</f>
        <v>4.9</v>
      </c>
      <c r="D113" s="3">
        <v>106.6</v>
      </c>
      <c r="E113" s="3">
        <v>101.7</v>
      </c>
      <c r="F113" s="4">
        <f t="shared" si="1"/>
        <v>0.6155167862</v>
      </c>
      <c r="G113" s="4">
        <f t="shared" si="2"/>
        <v>0.7196023108</v>
      </c>
    </row>
    <row r="114" hidden="1">
      <c r="A114" s="3">
        <v>113.0</v>
      </c>
      <c r="B114" s="3" t="s">
        <v>273</v>
      </c>
      <c r="C114" s="4">
        <f>+4.84</f>
        <v>4.84</v>
      </c>
      <c r="D114" s="3">
        <v>105.9</v>
      </c>
      <c r="E114" s="3">
        <v>101.1</v>
      </c>
      <c r="F114" s="4">
        <f t="shared" si="1"/>
        <v>0.6139274048</v>
      </c>
      <c r="G114" s="4">
        <f t="shared" si="2"/>
        <v>0.7209543879</v>
      </c>
    </row>
    <row r="115" hidden="1">
      <c r="A115" s="3">
        <v>114.0</v>
      </c>
      <c r="B115" s="3" t="s">
        <v>255</v>
      </c>
      <c r="C115" s="4">
        <f t="shared" ref="C115:C116" si="6">+4.55</f>
        <v>4.55</v>
      </c>
      <c r="D115" s="3">
        <v>104.5</v>
      </c>
      <c r="E115" s="3">
        <v>100.0</v>
      </c>
      <c r="F115" s="4">
        <f t="shared" si="1"/>
        <v>0.6082992646</v>
      </c>
      <c r="G115" s="4">
        <f t="shared" si="2"/>
        <v>0.7256937741</v>
      </c>
    </row>
    <row r="116" hidden="1">
      <c r="A116" s="3">
        <v>115.0</v>
      </c>
      <c r="B116" s="3" t="s">
        <v>136</v>
      </c>
      <c r="C116" s="4">
        <f t="shared" si="6"/>
        <v>4.55</v>
      </c>
      <c r="D116" s="3">
        <v>106.6</v>
      </c>
      <c r="E116" s="3">
        <v>102.0</v>
      </c>
      <c r="F116" s="4">
        <f t="shared" si="1"/>
        <v>0.6085227714</v>
      </c>
      <c r="G116" s="4">
        <f t="shared" si="2"/>
        <v>0.7255069882</v>
      </c>
    </row>
    <row r="117" hidden="1">
      <c r="A117" s="3">
        <v>116.0</v>
      </c>
      <c r="B117" s="3" t="s">
        <v>338</v>
      </c>
      <c r="C117" s="4">
        <f>+4.48</f>
        <v>4.48</v>
      </c>
      <c r="D117" s="3">
        <v>102.1</v>
      </c>
      <c r="E117" s="3">
        <v>97.7</v>
      </c>
      <c r="F117" s="4">
        <f t="shared" si="1"/>
        <v>0.6083809426</v>
      </c>
      <c r="G117" s="4">
        <f t="shared" si="2"/>
        <v>0.7256255289</v>
      </c>
    </row>
    <row r="118">
      <c r="A118" s="3">
        <v>138.0</v>
      </c>
      <c r="B118" s="3" t="s">
        <v>33</v>
      </c>
      <c r="C118" s="4">
        <f>+2.94</f>
        <v>2.94</v>
      </c>
      <c r="D118" s="3">
        <v>104.3</v>
      </c>
      <c r="E118" s="3">
        <v>101.4</v>
      </c>
      <c r="F118" s="4">
        <f t="shared" si="1"/>
        <v>0.5700322442</v>
      </c>
      <c r="G118" s="4">
        <f t="shared" si="2"/>
        <v>0.7560361581</v>
      </c>
      <c r="H118" s="3" t="s">
        <v>515</v>
      </c>
      <c r="I118" s="11">
        <v>-2.5819137317</v>
      </c>
    </row>
    <row r="119" hidden="1">
      <c r="A119" s="3">
        <v>118.0</v>
      </c>
      <c r="B119" s="3" t="s">
        <v>129</v>
      </c>
      <c r="C119" s="4">
        <f>+4.35</f>
        <v>4.35</v>
      </c>
      <c r="D119" s="3">
        <v>103.4</v>
      </c>
      <c r="E119" s="3">
        <v>99.1</v>
      </c>
      <c r="F119" s="4">
        <f t="shared" si="1"/>
        <v>0.6046205674</v>
      </c>
      <c r="G119" s="4">
        <f t="shared" si="2"/>
        <v>0.7287513533</v>
      </c>
    </row>
    <row r="120" hidden="1">
      <c r="A120" s="3">
        <v>119.0</v>
      </c>
      <c r="B120" s="3" t="s">
        <v>324</v>
      </c>
      <c r="C120" s="4">
        <f>+4.33</f>
        <v>4.33</v>
      </c>
      <c r="D120" s="3">
        <v>102.7</v>
      </c>
      <c r="E120" s="3">
        <v>98.3</v>
      </c>
      <c r="F120" s="4">
        <f t="shared" si="1"/>
        <v>0.6077539754</v>
      </c>
      <c r="G120" s="4">
        <f t="shared" si="2"/>
        <v>0.7261489848</v>
      </c>
    </row>
    <row r="121" hidden="1">
      <c r="A121" s="3">
        <v>120.0</v>
      </c>
      <c r="B121" s="3" t="s">
        <v>287</v>
      </c>
      <c r="C121" s="4">
        <f>+3.97</f>
        <v>3.97</v>
      </c>
      <c r="D121" s="3">
        <v>108.8</v>
      </c>
      <c r="E121" s="3">
        <v>104.9</v>
      </c>
      <c r="F121" s="4">
        <f t="shared" si="1"/>
        <v>0.5902594884</v>
      </c>
      <c r="G121" s="4">
        <f t="shared" si="2"/>
        <v>0.7403932919</v>
      </c>
    </row>
    <row r="122" hidden="1">
      <c r="A122" s="3">
        <v>121.0</v>
      </c>
      <c r="B122" s="3" t="s">
        <v>248</v>
      </c>
      <c r="C122" s="4">
        <f>+3.89</f>
        <v>3.89</v>
      </c>
      <c r="D122" s="3">
        <v>102.6</v>
      </c>
      <c r="E122" s="3">
        <v>98.7</v>
      </c>
      <c r="F122" s="4">
        <f t="shared" si="1"/>
        <v>0.5956879229</v>
      </c>
      <c r="G122" s="4">
        <f t="shared" si="2"/>
        <v>0.7360468261</v>
      </c>
    </row>
    <row r="123" hidden="1">
      <c r="A123" s="3">
        <v>122.0</v>
      </c>
      <c r="B123" s="3" t="s">
        <v>240</v>
      </c>
      <c r="C123" s="4">
        <f>+3.86</f>
        <v>3.86</v>
      </c>
      <c r="D123" s="3">
        <v>107.3</v>
      </c>
      <c r="E123" s="3">
        <v>103.5</v>
      </c>
      <c r="F123" s="4">
        <f t="shared" si="1"/>
        <v>0.5891784974</v>
      </c>
      <c r="G123" s="4">
        <f t="shared" si="2"/>
        <v>0.7412511338</v>
      </c>
    </row>
    <row r="124" hidden="1">
      <c r="A124" s="3">
        <v>123.0</v>
      </c>
      <c r="B124" s="3" t="s">
        <v>328</v>
      </c>
      <c r="C124" s="4">
        <f>+3.84</f>
        <v>3.84</v>
      </c>
      <c r="D124" s="3">
        <v>102.3</v>
      </c>
      <c r="E124" s="3">
        <v>98.4</v>
      </c>
      <c r="F124" s="4">
        <f t="shared" si="1"/>
        <v>0.5959669881</v>
      </c>
      <c r="G124" s="4">
        <f t="shared" si="2"/>
        <v>0.7358216256</v>
      </c>
    </row>
    <row r="125" hidden="1">
      <c r="A125" s="3">
        <v>124.0</v>
      </c>
      <c r="B125" s="3" t="s">
        <v>161</v>
      </c>
      <c r="C125" s="4">
        <f>+3.83</f>
        <v>3.83</v>
      </c>
      <c r="D125" s="3">
        <v>104.9</v>
      </c>
      <c r="E125" s="3">
        <v>101.1</v>
      </c>
      <c r="F125" s="4">
        <f t="shared" si="1"/>
        <v>0.5912110117</v>
      </c>
      <c r="G125" s="4">
        <f t="shared" si="2"/>
        <v>0.7396360907</v>
      </c>
    </row>
    <row r="126" hidden="1">
      <c r="A126" s="3">
        <v>125.0</v>
      </c>
      <c r="B126" s="3" t="s">
        <v>295</v>
      </c>
      <c r="C126" s="4">
        <f>+3.7</f>
        <v>3.7</v>
      </c>
      <c r="D126" s="3">
        <v>102.5</v>
      </c>
      <c r="E126" s="3">
        <v>98.8</v>
      </c>
      <c r="F126" s="4">
        <f t="shared" si="1"/>
        <v>0.5908914823</v>
      </c>
      <c r="G126" s="4">
        <f t="shared" si="2"/>
        <v>0.739890585</v>
      </c>
    </row>
    <row r="127">
      <c r="A127" s="3">
        <v>176.0</v>
      </c>
      <c r="B127" s="3" t="s">
        <v>39</v>
      </c>
      <c r="C127" s="3">
        <v>-0.49</v>
      </c>
      <c r="D127" s="3">
        <v>102.1</v>
      </c>
      <c r="E127" s="3">
        <v>102.6</v>
      </c>
      <c r="F127" s="4">
        <f t="shared" si="1"/>
        <v>0.4877894094</v>
      </c>
      <c r="G127" s="4">
        <f t="shared" si="2"/>
        <v>0.8118237081</v>
      </c>
      <c r="H127" s="3" t="s">
        <v>515</v>
      </c>
      <c r="I127" s="11">
        <v>-3.2067404056</v>
      </c>
    </row>
    <row r="128" hidden="1">
      <c r="A128" s="3">
        <v>127.0</v>
      </c>
      <c r="B128" s="3" t="s">
        <v>152</v>
      </c>
      <c r="C128" s="4">
        <f>+3.59</f>
        <v>3.59</v>
      </c>
      <c r="D128" s="3">
        <v>103.0</v>
      </c>
      <c r="E128" s="3">
        <v>99.4</v>
      </c>
      <c r="F128" s="4">
        <f t="shared" si="1"/>
        <v>0.5880157822</v>
      </c>
      <c r="G128" s="4">
        <f t="shared" si="2"/>
        <v>0.7421710077</v>
      </c>
    </row>
    <row r="129" hidden="1">
      <c r="A129" s="3">
        <v>128.0</v>
      </c>
      <c r="B129" s="3" t="s">
        <v>100</v>
      </c>
      <c r="C129" s="4">
        <f>+3.55</f>
        <v>3.55</v>
      </c>
      <c r="D129" s="3">
        <v>109.6</v>
      </c>
      <c r="E129" s="3">
        <v>106.0</v>
      </c>
      <c r="F129" s="4">
        <f t="shared" si="1"/>
        <v>0.5827281377</v>
      </c>
      <c r="G129" s="4">
        <f t="shared" si="2"/>
        <v>0.7463177754</v>
      </c>
    </row>
    <row r="130" hidden="1">
      <c r="A130" s="3">
        <v>129.0</v>
      </c>
      <c r="B130" s="3" t="s">
        <v>518</v>
      </c>
      <c r="C130" s="4">
        <f>+3.49</f>
        <v>3.49</v>
      </c>
      <c r="D130" s="3">
        <v>105.4</v>
      </c>
      <c r="E130" s="3">
        <v>101.9</v>
      </c>
      <c r="F130" s="4">
        <f t="shared" si="1"/>
        <v>0.5836334085</v>
      </c>
      <c r="G130" s="4">
        <f t="shared" si="2"/>
        <v>0.7456120437</v>
      </c>
    </row>
    <row r="131" hidden="1">
      <c r="A131" s="3">
        <v>130.0</v>
      </c>
      <c r="B131" s="3" t="s">
        <v>498</v>
      </c>
      <c r="C131" s="4">
        <f>+3.39</f>
        <v>3.39</v>
      </c>
      <c r="D131" s="3">
        <v>106.9</v>
      </c>
      <c r="E131" s="3">
        <v>103.5</v>
      </c>
      <c r="F131" s="4">
        <f t="shared" si="1"/>
        <v>0.5801092899</v>
      </c>
      <c r="G131" s="4">
        <f t="shared" si="2"/>
        <v>0.7483496767</v>
      </c>
    </row>
    <row r="132" hidden="1">
      <c r="A132" s="3">
        <v>131.0</v>
      </c>
      <c r="B132" s="3" t="s">
        <v>361</v>
      </c>
      <c r="C132" s="4">
        <f>+3.38</f>
        <v>3.38</v>
      </c>
      <c r="D132" s="3">
        <v>104.1</v>
      </c>
      <c r="E132" s="3">
        <v>100.7</v>
      </c>
      <c r="F132" s="4">
        <f t="shared" si="1"/>
        <v>0.5822609498</v>
      </c>
      <c r="G132" s="4">
        <f t="shared" si="2"/>
        <v>0.74668131</v>
      </c>
    </row>
    <row r="133" hidden="1">
      <c r="A133" s="3">
        <v>132.0</v>
      </c>
      <c r="B133" s="3" t="s">
        <v>360</v>
      </c>
      <c r="C133" s="4">
        <f>+3.27</f>
        <v>3.27</v>
      </c>
      <c r="D133" s="3">
        <v>99.3</v>
      </c>
      <c r="E133" s="3">
        <v>96.0</v>
      </c>
      <c r="F133" s="4">
        <f t="shared" si="1"/>
        <v>0.5836982499</v>
      </c>
      <c r="G133" s="4">
        <f t="shared" si="2"/>
        <v>0.7455614281</v>
      </c>
    </row>
    <row r="134" hidden="1">
      <c r="A134" s="3">
        <v>133.0</v>
      </c>
      <c r="B134" s="3" t="s">
        <v>264</v>
      </c>
      <c r="C134" s="4">
        <f>+3.13</f>
        <v>3.13</v>
      </c>
      <c r="D134" s="3">
        <v>99.4</v>
      </c>
      <c r="E134" s="3">
        <v>96.3</v>
      </c>
      <c r="F134" s="4">
        <f t="shared" si="1"/>
        <v>0.5785534433</v>
      </c>
      <c r="G134" s="4">
        <f t="shared" si="2"/>
        <v>0.7495500396</v>
      </c>
    </row>
    <row r="135" hidden="1">
      <c r="A135" s="3">
        <v>134.0</v>
      </c>
      <c r="B135" s="3" t="s">
        <v>308</v>
      </c>
      <c r="C135" s="4">
        <f>+3.12</f>
        <v>3.12</v>
      </c>
      <c r="D135" s="3">
        <v>104.2</v>
      </c>
      <c r="E135" s="3">
        <v>101.1</v>
      </c>
      <c r="F135" s="4">
        <f t="shared" si="1"/>
        <v>0.5749362562</v>
      </c>
      <c r="G135" s="4">
        <f t="shared" si="2"/>
        <v>0.7523214307</v>
      </c>
    </row>
    <row r="136" hidden="1">
      <c r="A136" s="3">
        <v>135.0</v>
      </c>
      <c r="B136" s="3" t="s">
        <v>359</v>
      </c>
      <c r="C136" s="4">
        <f>+3.1</f>
        <v>3.1</v>
      </c>
      <c r="D136" s="3">
        <v>105.1</v>
      </c>
      <c r="E136" s="3">
        <v>102.0</v>
      </c>
      <c r="F136" s="4">
        <f t="shared" si="1"/>
        <v>0.5742945263</v>
      </c>
      <c r="G136" s="4">
        <f t="shared" si="2"/>
        <v>0.7528103052</v>
      </c>
    </row>
    <row r="137" hidden="1">
      <c r="A137" s="3">
        <v>136.0</v>
      </c>
      <c r="B137" s="3" t="s">
        <v>544</v>
      </c>
      <c r="C137" s="4">
        <f>+3.08</f>
        <v>3.08</v>
      </c>
      <c r="D137" s="3">
        <v>105.7</v>
      </c>
      <c r="E137" s="3">
        <v>102.7</v>
      </c>
      <c r="F137" s="4">
        <f t="shared" si="1"/>
        <v>0.5714887386</v>
      </c>
      <c r="G137" s="4">
        <f t="shared" si="2"/>
        <v>0.7549379519</v>
      </c>
    </row>
    <row r="138" hidden="1">
      <c r="A138" s="3">
        <v>137.0</v>
      </c>
      <c r="B138" s="3" t="s">
        <v>102</v>
      </c>
      <c r="C138" s="4">
        <f>+3.01</f>
        <v>3.01</v>
      </c>
      <c r="D138" s="3">
        <v>104.1</v>
      </c>
      <c r="E138" s="3">
        <v>101.1</v>
      </c>
      <c r="F138" s="4">
        <f t="shared" si="1"/>
        <v>0.5725881174</v>
      </c>
      <c r="G138" s="4">
        <f t="shared" si="2"/>
        <v>0.7541061849</v>
      </c>
    </row>
    <row r="139">
      <c r="A139" s="3">
        <v>126.0</v>
      </c>
      <c r="B139" s="3" t="s">
        <v>46</v>
      </c>
      <c r="C139" s="4">
        <f>+3.62</f>
        <v>3.62</v>
      </c>
      <c r="D139" s="3">
        <v>105.6</v>
      </c>
      <c r="E139" s="3">
        <v>102.0</v>
      </c>
      <c r="F139" s="4">
        <f t="shared" si="1"/>
        <v>0.5858548581</v>
      </c>
      <c r="G139" s="4">
        <f t="shared" si="2"/>
        <v>0.7438728857</v>
      </c>
      <c r="H139" s="3" t="s">
        <v>515</v>
      </c>
      <c r="I139" s="11">
        <v>-4.0955402248</v>
      </c>
    </row>
    <row r="140" hidden="1">
      <c r="A140" s="3">
        <v>139.0</v>
      </c>
      <c r="B140" s="3" t="s">
        <v>282</v>
      </c>
      <c r="C140" s="4">
        <f>+2.92</f>
        <v>2.92</v>
      </c>
      <c r="D140" s="3">
        <v>99.9</v>
      </c>
      <c r="E140" s="3">
        <v>96.9</v>
      </c>
      <c r="F140" s="4">
        <f t="shared" si="1"/>
        <v>0.5756403307</v>
      </c>
      <c r="G140" s="4">
        <f t="shared" si="2"/>
        <v>0.7517840942</v>
      </c>
    </row>
    <row r="141" hidden="1">
      <c r="A141" s="3">
        <v>140.0</v>
      </c>
      <c r="B141" s="3" t="s">
        <v>138</v>
      </c>
      <c r="C141" s="4">
        <f>+2.83</f>
        <v>2.83</v>
      </c>
      <c r="D141" s="3">
        <v>105.8</v>
      </c>
      <c r="E141" s="3">
        <v>102.9</v>
      </c>
      <c r="F141" s="4">
        <f t="shared" si="1"/>
        <v>0.5690383603</v>
      </c>
      <c r="G141" s="4">
        <f t="shared" si="2"/>
        <v>0.7567831132</v>
      </c>
    </row>
    <row r="142">
      <c r="A142" s="3">
        <v>147.0</v>
      </c>
      <c r="B142" s="3" t="s">
        <v>50</v>
      </c>
      <c r="C142" s="4">
        <f>+1.98</f>
        <v>1.98</v>
      </c>
      <c r="D142" s="3">
        <v>100.7</v>
      </c>
      <c r="E142" s="3">
        <v>98.8</v>
      </c>
      <c r="F142" s="4">
        <f t="shared" si="1"/>
        <v>0.547477022</v>
      </c>
      <c r="G142" s="4">
        <f t="shared" si="2"/>
        <v>0.7725154943</v>
      </c>
      <c r="H142" s="3" t="s">
        <v>515</v>
      </c>
      <c r="I142" s="11">
        <v>-4.6671373343</v>
      </c>
    </row>
    <row r="143" hidden="1">
      <c r="A143" s="3">
        <v>142.0</v>
      </c>
      <c r="B143" s="3" t="s">
        <v>292</v>
      </c>
      <c r="C143" s="4">
        <f>+2.38</f>
        <v>2.38</v>
      </c>
      <c r="D143" s="3">
        <v>100.5</v>
      </c>
      <c r="E143" s="3">
        <v>98.2</v>
      </c>
      <c r="F143" s="4">
        <f t="shared" si="1"/>
        <v>0.5576216369</v>
      </c>
      <c r="G143" s="4">
        <f t="shared" si="2"/>
        <v>0.7652240057</v>
      </c>
    </row>
    <row r="144" hidden="1">
      <c r="A144" s="3">
        <v>143.0</v>
      </c>
      <c r="B144" s="3" t="s">
        <v>523</v>
      </c>
      <c r="C144" s="4">
        <f>+2.31</f>
        <v>2.31</v>
      </c>
      <c r="D144" s="3">
        <v>100.6</v>
      </c>
      <c r="E144" s="3">
        <v>98.3</v>
      </c>
      <c r="F144" s="4">
        <f t="shared" si="1"/>
        <v>0.5575642051</v>
      </c>
      <c r="G144" s="4">
        <f t="shared" si="2"/>
        <v>0.76526583</v>
      </c>
    </row>
    <row r="145" hidden="1">
      <c r="A145" s="3">
        <v>144.0</v>
      </c>
      <c r="B145" s="3" t="s">
        <v>519</v>
      </c>
      <c r="C145" s="4">
        <f>+2.27</f>
        <v>2.27</v>
      </c>
      <c r="D145" s="3">
        <v>104.7</v>
      </c>
      <c r="E145" s="3">
        <v>102.4</v>
      </c>
      <c r="F145" s="4">
        <f t="shared" si="1"/>
        <v>0.5553038133</v>
      </c>
      <c r="G145" s="4">
        <f t="shared" si="2"/>
        <v>0.7669069654</v>
      </c>
    </row>
    <row r="146">
      <c r="A146" s="3">
        <v>154.0</v>
      </c>
      <c r="B146" s="3" t="s">
        <v>37</v>
      </c>
      <c r="C146" s="4">
        <f>+1.47</f>
        <v>1.47</v>
      </c>
      <c r="D146" s="3">
        <v>104.1</v>
      </c>
      <c r="E146" s="3">
        <v>102.7</v>
      </c>
      <c r="F146" s="4">
        <f t="shared" si="1"/>
        <v>0.5337980282</v>
      </c>
      <c r="G146" s="4">
        <f t="shared" si="2"/>
        <v>0.7820500513</v>
      </c>
      <c r="H146" s="3" t="s">
        <v>515</v>
      </c>
      <c r="I146" s="11">
        <v>-4.89373630549999</v>
      </c>
    </row>
    <row r="147" hidden="1">
      <c r="A147" s="3">
        <v>146.0</v>
      </c>
      <c r="B147" s="3" t="s">
        <v>157</v>
      </c>
      <c r="C147" s="4">
        <f>+2.04</f>
        <v>2.04</v>
      </c>
      <c r="D147" s="3">
        <v>105.1</v>
      </c>
      <c r="E147" s="3">
        <v>103.1</v>
      </c>
      <c r="F147" s="4">
        <f t="shared" si="1"/>
        <v>0.5478850074</v>
      </c>
      <c r="G147" s="4">
        <f t="shared" si="2"/>
        <v>0.7722259426</v>
      </c>
    </row>
    <row r="148">
      <c r="A148" s="3">
        <v>148.0</v>
      </c>
      <c r="B148" s="3" t="s">
        <v>88</v>
      </c>
      <c r="C148" s="4">
        <f>+1.97</f>
        <v>1.97</v>
      </c>
      <c r="D148" s="3">
        <v>105.1</v>
      </c>
      <c r="E148" s="3">
        <v>103.2</v>
      </c>
      <c r="F148" s="4">
        <f t="shared" si="1"/>
        <v>0.5454824854</v>
      </c>
      <c r="G148" s="4">
        <f t="shared" si="2"/>
        <v>0.7739266571</v>
      </c>
      <c r="H148" s="3" t="s">
        <v>515</v>
      </c>
      <c r="I148" s="11">
        <v>-5.32722457119999</v>
      </c>
    </row>
    <row r="149">
      <c r="A149" s="3">
        <v>150.0</v>
      </c>
      <c r="B149" s="3" t="s">
        <v>23</v>
      </c>
      <c r="C149" s="4">
        <f>+1.6</f>
        <v>1.6</v>
      </c>
      <c r="D149" s="3">
        <v>101.5</v>
      </c>
      <c r="E149" s="3">
        <v>99.9</v>
      </c>
      <c r="F149" s="4">
        <f t="shared" si="1"/>
        <v>0.5396394211</v>
      </c>
      <c r="G149" s="4">
        <f t="shared" si="2"/>
        <v>0.7780192772</v>
      </c>
      <c r="H149" s="3" t="s">
        <v>515</v>
      </c>
      <c r="I149" s="11">
        <v>-5.34466742939999</v>
      </c>
    </row>
    <row r="150" hidden="1">
      <c r="A150" s="3">
        <v>149.0</v>
      </c>
      <c r="B150" s="3" t="s">
        <v>131</v>
      </c>
      <c r="C150" s="4">
        <f>+1.67</f>
        <v>1.67</v>
      </c>
      <c r="D150" s="3">
        <v>101.9</v>
      </c>
      <c r="E150" s="3">
        <v>100.3</v>
      </c>
      <c r="F150" s="4">
        <f t="shared" si="1"/>
        <v>0.5394832361</v>
      </c>
      <c r="G150" s="4">
        <f t="shared" si="2"/>
        <v>0.7781278338</v>
      </c>
    </row>
    <row r="151">
      <c r="A151" s="3">
        <v>141.0</v>
      </c>
      <c r="B151" s="3" t="s">
        <v>71</v>
      </c>
      <c r="C151" s="4">
        <f>+2.64</f>
        <v>2.64</v>
      </c>
      <c r="D151" s="3">
        <v>107.0</v>
      </c>
      <c r="E151" s="3">
        <v>104.3</v>
      </c>
      <c r="F151" s="4">
        <f t="shared" si="1"/>
        <v>0.5635481516</v>
      </c>
      <c r="G151" s="4">
        <f t="shared" si="2"/>
        <v>0.7608739998</v>
      </c>
      <c r="H151" s="3" t="s">
        <v>515</v>
      </c>
      <c r="I151" s="11">
        <v>-5.38417896367</v>
      </c>
    </row>
    <row r="152" hidden="1">
      <c r="A152" s="3">
        <v>151.0</v>
      </c>
      <c r="B152" s="3" t="s">
        <v>112</v>
      </c>
      <c r="C152" s="4">
        <f>+1.58</f>
        <v>1.58</v>
      </c>
      <c r="D152" s="3">
        <v>101.6</v>
      </c>
      <c r="E152" s="3">
        <v>100.0</v>
      </c>
      <c r="F152" s="4">
        <f t="shared" si="1"/>
        <v>0.5396002594</v>
      </c>
      <c r="G152" s="4">
        <f t="shared" si="2"/>
        <v>0.7780465007</v>
      </c>
    </row>
    <row r="153" hidden="1">
      <c r="A153" s="3">
        <v>152.0</v>
      </c>
      <c r="B153" s="3" t="s">
        <v>553</v>
      </c>
      <c r="C153" s="4">
        <f>+1.54</f>
        <v>1.54</v>
      </c>
      <c r="D153" s="3">
        <v>102.9</v>
      </c>
      <c r="E153" s="3">
        <v>101.4</v>
      </c>
      <c r="F153" s="4">
        <f t="shared" si="1"/>
        <v>0.536645552</v>
      </c>
      <c r="G153" s="4">
        <f t="shared" si="2"/>
        <v>0.7800926493</v>
      </c>
    </row>
    <row r="154" hidden="1">
      <c r="A154" s="3">
        <v>153.0</v>
      </c>
      <c r="B154" s="3" t="s">
        <v>296</v>
      </c>
      <c r="C154" s="4">
        <f>+1.52</f>
        <v>1.52</v>
      </c>
      <c r="D154" s="3">
        <v>104.5</v>
      </c>
      <c r="E154" s="3">
        <v>102.9</v>
      </c>
      <c r="F154" s="4">
        <f t="shared" si="1"/>
        <v>0.5384972273</v>
      </c>
      <c r="G154" s="4">
        <f t="shared" si="2"/>
        <v>0.7788121615</v>
      </c>
    </row>
    <row r="155">
      <c r="A155" s="3">
        <v>102.0</v>
      </c>
      <c r="B155" s="3" t="s">
        <v>54</v>
      </c>
      <c r="C155" s="4">
        <f>+7.24</f>
        <v>7.24</v>
      </c>
      <c r="D155" s="3">
        <v>100.3</v>
      </c>
      <c r="E155" s="3">
        <v>93.0</v>
      </c>
      <c r="F155" s="4">
        <f t="shared" si="1"/>
        <v>0.6804111709</v>
      </c>
      <c r="G155" s="4">
        <f t="shared" si="2"/>
        <v>0.658673815</v>
      </c>
      <c r="H155" s="3" t="s">
        <v>515</v>
      </c>
      <c r="I155" s="11">
        <v>-5.4189520471</v>
      </c>
    </row>
    <row r="156" hidden="1">
      <c r="A156" s="3">
        <v>155.0</v>
      </c>
      <c r="B156" s="3" t="s">
        <v>463</v>
      </c>
      <c r="C156" s="4">
        <f>+1.3</f>
        <v>1.3</v>
      </c>
      <c r="D156" s="3">
        <v>102.6</v>
      </c>
      <c r="E156" s="3">
        <v>101.3</v>
      </c>
      <c r="F156" s="4">
        <f t="shared" si="1"/>
        <v>0.5318356777</v>
      </c>
      <c r="G156" s="4">
        <f t="shared" si="2"/>
        <v>0.7833907664</v>
      </c>
    </row>
    <row r="157" hidden="1">
      <c r="A157" s="3">
        <v>156.0</v>
      </c>
      <c r="B157" s="3" t="s">
        <v>294</v>
      </c>
      <c r="C157" s="4">
        <f>+1.2</f>
        <v>1.2</v>
      </c>
      <c r="D157" s="3">
        <v>100.4</v>
      </c>
      <c r="E157" s="3">
        <v>99.2</v>
      </c>
      <c r="F157" s="4">
        <f t="shared" si="1"/>
        <v>0.5300243165</v>
      </c>
      <c r="G157" s="4">
        <f t="shared" si="2"/>
        <v>0.7846224237</v>
      </c>
    </row>
    <row r="158" hidden="1">
      <c r="A158" s="3">
        <v>157.0</v>
      </c>
      <c r="B158" s="3" t="s">
        <v>375</v>
      </c>
      <c r="C158" s="4">
        <f>+1.18</f>
        <v>1.18</v>
      </c>
      <c r="D158" s="3">
        <v>102.8</v>
      </c>
      <c r="E158" s="3">
        <v>101.6</v>
      </c>
      <c r="F158" s="4">
        <f t="shared" si="1"/>
        <v>0.5293208651</v>
      </c>
      <c r="G158" s="4">
        <f t="shared" si="2"/>
        <v>0.7850992261</v>
      </c>
    </row>
    <row r="159" hidden="1">
      <c r="A159" s="3">
        <v>158.0</v>
      </c>
      <c r="B159" s="3" t="s">
        <v>352</v>
      </c>
      <c r="C159" s="4">
        <f>+1.12</f>
        <v>1.12</v>
      </c>
      <c r="D159" s="3">
        <v>102.6</v>
      </c>
      <c r="E159" s="3">
        <v>101.4</v>
      </c>
      <c r="F159" s="4">
        <f t="shared" si="1"/>
        <v>0.5293782261</v>
      </c>
      <c r="G159" s="4">
        <f t="shared" si="2"/>
        <v>0.7850603783</v>
      </c>
    </row>
    <row r="160" hidden="1">
      <c r="A160" s="3">
        <v>159.0</v>
      </c>
      <c r="B160" s="3" t="s">
        <v>333</v>
      </c>
      <c r="C160" s="4">
        <f>+0.89</f>
        <v>0.89</v>
      </c>
      <c r="D160" s="3">
        <v>105.9</v>
      </c>
      <c r="E160" s="3">
        <v>105.0</v>
      </c>
      <c r="F160" s="4">
        <f t="shared" si="1"/>
        <v>0.521324313</v>
      </c>
      <c r="G160" s="4">
        <f t="shared" si="2"/>
        <v>0.7904604073</v>
      </c>
    </row>
    <row r="161" hidden="1">
      <c r="A161" s="3">
        <v>160.0</v>
      </c>
      <c r="B161" s="3" t="s">
        <v>137</v>
      </c>
      <c r="C161" s="4">
        <f>+0.77</f>
        <v>0.77</v>
      </c>
      <c r="D161" s="3">
        <v>103.3</v>
      </c>
      <c r="E161" s="3">
        <v>102.6</v>
      </c>
      <c r="F161" s="4">
        <f t="shared" si="1"/>
        <v>0.5169920624</v>
      </c>
      <c r="G161" s="4">
        <f t="shared" si="2"/>
        <v>0.7933204074</v>
      </c>
    </row>
    <row r="162" hidden="1">
      <c r="A162" s="3">
        <v>161.0</v>
      </c>
      <c r="B162" s="3" t="s">
        <v>134</v>
      </c>
      <c r="C162" s="4">
        <f>+0.73</f>
        <v>0.73</v>
      </c>
      <c r="D162" s="3">
        <v>106.6</v>
      </c>
      <c r="E162" s="3">
        <v>105.9</v>
      </c>
      <c r="F162" s="4">
        <f t="shared" si="1"/>
        <v>0.5164646928</v>
      </c>
      <c r="G162" s="4">
        <f t="shared" si="2"/>
        <v>0.7936664572</v>
      </c>
    </row>
    <row r="163" hidden="1">
      <c r="A163" s="3">
        <v>162.0</v>
      </c>
      <c r="B163" s="3" t="s">
        <v>395</v>
      </c>
      <c r="C163" s="4">
        <f>+0.61</f>
        <v>0.61</v>
      </c>
      <c r="D163" s="3">
        <v>106.7</v>
      </c>
      <c r="E163" s="3">
        <v>106.1</v>
      </c>
      <c r="F163" s="4">
        <f t="shared" si="1"/>
        <v>0.514094047</v>
      </c>
      <c r="G163" s="4">
        <f t="shared" si="2"/>
        <v>0.7952164476</v>
      </c>
    </row>
    <row r="164" hidden="1">
      <c r="A164" s="3">
        <v>163.0</v>
      </c>
      <c r="B164" s="3" t="s">
        <v>274</v>
      </c>
      <c r="C164" s="4">
        <f>+0.6</f>
        <v>0.6</v>
      </c>
      <c r="D164" s="3">
        <v>100.4</v>
      </c>
      <c r="E164" s="3">
        <v>99.8</v>
      </c>
      <c r="F164" s="4">
        <f t="shared" si="1"/>
        <v>0.5149805749</v>
      </c>
      <c r="G164" s="4">
        <f t="shared" si="2"/>
        <v>0.7946378788</v>
      </c>
    </row>
    <row r="165" hidden="1">
      <c r="A165" s="3">
        <v>164.0</v>
      </c>
      <c r="B165" s="3" t="s">
        <v>425</v>
      </c>
      <c r="C165" s="4">
        <f>+0.49</f>
        <v>0.49</v>
      </c>
      <c r="D165" s="3">
        <v>100.2</v>
      </c>
      <c r="E165" s="3">
        <v>99.7</v>
      </c>
      <c r="F165" s="4">
        <f t="shared" si="1"/>
        <v>0.5125036718</v>
      </c>
      <c r="G165" s="4">
        <f t="shared" si="2"/>
        <v>0.7962511867</v>
      </c>
    </row>
    <row r="166" hidden="1">
      <c r="A166" s="3">
        <v>165.0</v>
      </c>
      <c r="B166" s="3" t="s">
        <v>107</v>
      </c>
      <c r="C166" s="4">
        <f>+0.34</f>
        <v>0.34</v>
      </c>
      <c r="D166" s="3">
        <v>109.5</v>
      </c>
      <c r="E166" s="3">
        <v>109.1</v>
      </c>
      <c r="F166" s="4">
        <f t="shared" si="1"/>
        <v>0.5091481201</v>
      </c>
      <c r="G166" s="4">
        <f t="shared" si="2"/>
        <v>0.798421106</v>
      </c>
    </row>
    <row r="167" hidden="1">
      <c r="A167" s="3">
        <v>166.0</v>
      </c>
      <c r="B167" s="3" t="s">
        <v>541</v>
      </c>
      <c r="C167" s="4">
        <f>+0.26</f>
        <v>0.26</v>
      </c>
      <c r="D167" s="3">
        <v>101.0</v>
      </c>
      <c r="E167" s="3">
        <v>100.8</v>
      </c>
      <c r="F167" s="4">
        <f t="shared" si="1"/>
        <v>0.5049552408</v>
      </c>
      <c r="G167" s="4">
        <f t="shared" si="2"/>
        <v>0.8011074373</v>
      </c>
    </row>
    <row r="168" hidden="1">
      <c r="A168" s="3">
        <v>167.0</v>
      </c>
      <c r="B168" s="3" t="s">
        <v>548</v>
      </c>
      <c r="C168" s="4">
        <f>+0.22</f>
        <v>0.22</v>
      </c>
      <c r="D168" s="3">
        <v>96.6</v>
      </c>
      <c r="E168" s="3">
        <v>96.4</v>
      </c>
      <c r="F168" s="4">
        <f t="shared" si="1"/>
        <v>0.5051811635</v>
      </c>
      <c r="G168" s="4">
        <f t="shared" si="2"/>
        <v>0.8009633943</v>
      </c>
    </row>
    <row r="169" hidden="1">
      <c r="A169" s="3">
        <v>168.0</v>
      </c>
      <c r="B169" s="3" t="s">
        <v>335</v>
      </c>
      <c r="C169" s="4">
        <f>+0.17</f>
        <v>0.17</v>
      </c>
      <c r="D169" s="3">
        <v>100.7</v>
      </c>
      <c r="E169" s="3">
        <v>100.5</v>
      </c>
      <c r="F169" s="4">
        <f t="shared" si="1"/>
        <v>0.5049700169</v>
      </c>
      <c r="G169" s="4">
        <f t="shared" si="2"/>
        <v>0.8010980189</v>
      </c>
    </row>
    <row r="170" hidden="1">
      <c r="A170" s="3">
        <v>169.0</v>
      </c>
      <c r="B170" s="3" t="s">
        <v>326</v>
      </c>
      <c r="C170" s="4">
        <f>+0.06</f>
        <v>0.06</v>
      </c>
      <c r="D170" s="3">
        <v>101.6</v>
      </c>
      <c r="E170" s="3">
        <v>101.5</v>
      </c>
      <c r="F170" s="4">
        <f t="shared" si="1"/>
        <v>0.5024618218</v>
      </c>
      <c r="G170" s="4">
        <f t="shared" si="2"/>
        <v>0.8026919051</v>
      </c>
    </row>
    <row r="171" hidden="1">
      <c r="A171" s="3">
        <v>170.0</v>
      </c>
      <c r="B171" s="3" t="s">
        <v>596</v>
      </c>
      <c r="C171" s="3">
        <v>-0.18</v>
      </c>
      <c r="D171" s="3">
        <v>110.3</v>
      </c>
      <c r="E171" s="3">
        <v>110.5</v>
      </c>
      <c r="F171" s="4">
        <f t="shared" si="1"/>
        <v>0.4954711371</v>
      </c>
      <c r="G171" s="4">
        <f t="shared" si="2"/>
        <v>0.8070832125</v>
      </c>
    </row>
    <row r="172" hidden="1">
      <c r="A172" s="3">
        <v>171.0</v>
      </c>
      <c r="B172" s="3" t="s">
        <v>340</v>
      </c>
      <c r="C172" s="3">
        <v>-0.27</v>
      </c>
      <c r="D172" s="3">
        <v>103.6</v>
      </c>
      <c r="E172" s="3">
        <v>103.9</v>
      </c>
      <c r="F172" s="4">
        <f t="shared" si="1"/>
        <v>0.4927715829</v>
      </c>
      <c r="G172" s="4">
        <f t="shared" si="2"/>
        <v>0.8087591559</v>
      </c>
    </row>
    <row r="173">
      <c r="A173" s="3">
        <v>117.0</v>
      </c>
      <c r="B173" s="3" t="s">
        <v>84</v>
      </c>
      <c r="C173" s="4">
        <f>+4.41</f>
        <v>4.41</v>
      </c>
      <c r="D173" s="3">
        <v>108.2</v>
      </c>
      <c r="E173" s="3">
        <v>103.8</v>
      </c>
      <c r="F173" s="4">
        <f t="shared" si="1"/>
        <v>0.6023230547</v>
      </c>
      <c r="G173" s="4">
        <f t="shared" si="2"/>
        <v>0.7306450858</v>
      </c>
      <c r="H173" s="3" t="s">
        <v>515</v>
      </c>
      <c r="I173" s="11">
        <v>-6.52459413299999</v>
      </c>
    </row>
    <row r="174" hidden="1">
      <c r="A174" s="3">
        <v>173.0</v>
      </c>
      <c r="B174" s="3" t="s">
        <v>343</v>
      </c>
      <c r="C174" s="3">
        <v>-0.43</v>
      </c>
      <c r="D174" s="3">
        <v>94.7</v>
      </c>
      <c r="E174" s="3">
        <v>95.1</v>
      </c>
      <c r="F174" s="4">
        <f t="shared" si="1"/>
        <v>0.4894641364</v>
      </c>
      <c r="G174" s="4">
        <f t="shared" si="2"/>
        <v>0.8107976716</v>
      </c>
    </row>
    <row r="175" hidden="1">
      <c r="A175" s="3">
        <v>174.0</v>
      </c>
      <c r="B175" s="3" t="s">
        <v>546</v>
      </c>
      <c r="C175" s="3">
        <v>-0.48</v>
      </c>
      <c r="D175" s="3">
        <v>103.3</v>
      </c>
      <c r="E175" s="3">
        <v>103.8</v>
      </c>
      <c r="F175" s="4">
        <f t="shared" si="1"/>
        <v>0.4879308584</v>
      </c>
      <c r="G175" s="4">
        <f t="shared" si="2"/>
        <v>0.8117372075</v>
      </c>
    </row>
    <row r="176" hidden="1">
      <c r="A176" s="3">
        <v>175.0</v>
      </c>
      <c r="B176" s="3" t="s">
        <v>347</v>
      </c>
      <c r="C176" s="3">
        <v>-0.48</v>
      </c>
      <c r="D176" s="3">
        <v>104.9</v>
      </c>
      <c r="E176" s="3">
        <v>105.4</v>
      </c>
      <c r="F176" s="4">
        <f t="shared" si="1"/>
        <v>0.4881144377</v>
      </c>
      <c r="G176" s="4">
        <f t="shared" si="2"/>
        <v>0.811624899</v>
      </c>
    </row>
    <row r="177">
      <c r="A177" s="3">
        <v>187.0</v>
      </c>
      <c r="B177" s="3" t="s">
        <v>74</v>
      </c>
      <c r="C177" s="3">
        <v>-1.28</v>
      </c>
      <c r="D177" s="3">
        <v>97.6</v>
      </c>
      <c r="E177" s="3">
        <v>98.9</v>
      </c>
      <c r="F177" s="4">
        <f t="shared" si="1"/>
        <v>0.4669688152</v>
      </c>
      <c r="G177" s="4">
        <f t="shared" si="2"/>
        <v>0.8242439138</v>
      </c>
      <c r="H177" s="3" t="s">
        <v>515</v>
      </c>
      <c r="I177" s="11">
        <v>-7.4622236992</v>
      </c>
    </row>
    <row r="178" hidden="1">
      <c r="A178" s="3">
        <v>177.0</v>
      </c>
      <c r="B178" s="3" t="s">
        <v>371</v>
      </c>
      <c r="C178" s="3">
        <v>-0.58</v>
      </c>
      <c r="D178" s="3">
        <v>100.3</v>
      </c>
      <c r="E178" s="3">
        <v>100.9</v>
      </c>
      <c r="F178" s="4">
        <f t="shared" si="1"/>
        <v>0.4850938375</v>
      </c>
      <c r="G178" s="4">
        <f t="shared" si="2"/>
        <v>0.8134665474</v>
      </c>
    </row>
    <row r="179" hidden="1">
      <c r="A179" s="3">
        <v>178.0</v>
      </c>
      <c r="B179" s="3" t="s">
        <v>310</v>
      </c>
      <c r="C179" s="3">
        <v>-0.66</v>
      </c>
      <c r="D179" s="3">
        <v>100.5</v>
      </c>
      <c r="E179" s="3">
        <v>101.2</v>
      </c>
      <c r="F179" s="4">
        <f t="shared" si="1"/>
        <v>0.48265439</v>
      </c>
      <c r="G179" s="4">
        <f t="shared" si="2"/>
        <v>0.8149441904</v>
      </c>
    </row>
    <row r="180" hidden="1">
      <c r="A180" s="3">
        <v>179.0</v>
      </c>
      <c r="B180" s="3" t="s">
        <v>344</v>
      </c>
      <c r="C180" s="3">
        <v>-0.86</v>
      </c>
      <c r="D180" s="3">
        <v>102.7</v>
      </c>
      <c r="E180" s="3">
        <v>103.5</v>
      </c>
      <c r="F180" s="4">
        <f t="shared" si="1"/>
        <v>0.480610988</v>
      </c>
      <c r="G180" s="4">
        <f t="shared" si="2"/>
        <v>0.8161753405</v>
      </c>
    </row>
    <row r="181" hidden="1">
      <c r="A181" s="3">
        <v>180.0</v>
      </c>
      <c r="B181" s="3" t="s">
        <v>450</v>
      </c>
      <c r="C181" s="3">
        <v>-0.89</v>
      </c>
      <c r="D181" s="3">
        <v>102.7</v>
      </c>
      <c r="E181" s="3">
        <v>103.6</v>
      </c>
      <c r="F181" s="4">
        <f t="shared" si="1"/>
        <v>0.4782007957</v>
      </c>
      <c r="G181" s="4">
        <f t="shared" si="2"/>
        <v>0.8176198146</v>
      </c>
    </row>
    <row r="182" hidden="1">
      <c r="A182" s="3">
        <v>181.0</v>
      </c>
      <c r="B182" s="3" t="s">
        <v>571</v>
      </c>
      <c r="C182" s="3">
        <v>-1.12</v>
      </c>
      <c r="D182" s="3">
        <v>99.9</v>
      </c>
      <c r="E182" s="3">
        <v>101.0</v>
      </c>
      <c r="F182" s="4">
        <f t="shared" si="1"/>
        <v>0.4726502483</v>
      </c>
      <c r="G182" s="4">
        <f t="shared" si="2"/>
        <v>0.8209151734</v>
      </c>
    </row>
    <row r="183" hidden="1">
      <c r="A183" s="3">
        <v>182.0</v>
      </c>
      <c r="B183" s="3" t="s">
        <v>147</v>
      </c>
      <c r="C183" s="3">
        <v>-1.12</v>
      </c>
      <c r="D183" s="3">
        <v>105.0</v>
      </c>
      <c r="E183" s="3">
        <v>106.1</v>
      </c>
      <c r="F183" s="4">
        <f t="shared" si="1"/>
        <v>0.4739693174</v>
      </c>
      <c r="G183" s="4">
        <f t="shared" si="2"/>
        <v>0.8201359514</v>
      </c>
    </row>
    <row r="184" hidden="1">
      <c r="A184" s="3">
        <v>183.0</v>
      </c>
      <c r="B184" s="3" t="s">
        <v>108</v>
      </c>
      <c r="C184" s="3">
        <v>-1.15</v>
      </c>
      <c r="D184" s="3">
        <v>101.5</v>
      </c>
      <c r="E184" s="3">
        <v>102.6</v>
      </c>
      <c r="F184" s="4">
        <f t="shared" si="1"/>
        <v>0.4730782263</v>
      </c>
      <c r="G184" s="4">
        <f t="shared" si="2"/>
        <v>0.8206626168</v>
      </c>
    </row>
    <row r="185" hidden="1">
      <c r="A185" s="3">
        <v>184.0</v>
      </c>
      <c r="B185" s="3" t="s">
        <v>473</v>
      </c>
      <c r="C185" s="3">
        <v>-1.19</v>
      </c>
      <c r="D185" s="3">
        <v>95.3</v>
      </c>
      <c r="E185" s="3">
        <v>96.5</v>
      </c>
      <c r="F185" s="4">
        <f t="shared" si="1"/>
        <v>0.4687577611</v>
      </c>
      <c r="G185" s="4">
        <f t="shared" si="2"/>
        <v>0.8232005572</v>
      </c>
    </row>
    <row r="186" hidden="1">
      <c r="A186" s="3">
        <v>185.0</v>
      </c>
      <c r="B186" s="3" t="s">
        <v>270</v>
      </c>
      <c r="C186" s="3">
        <v>-1.22</v>
      </c>
      <c r="D186" s="3">
        <v>111.8</v>
      </c>
      <c r="E186" s="3">
        <v>113.0</v>
      </c>
      <c r="F186" s="4">
        <f t="shared" si="1"/>
        <v>0.4733346784</v>
      </c>
      <c r="G186" s="4">
        <f t="shared" si="2"/>
        <v>0.8205111582</v>
      </c>
    </row>
    <row r="187" hidden="1">
      <c r="A187" s="3">
        <v>186.0</v>
      </c>
      <c r="B187" s="3" t="s">
        <v>556</v>
      </c>
      <c r="C187" s="3">
        <v>-1.25</v>
      </c>
      <c r="D187" s="3">
        <v>107.7</v>
      </c>
      <c r="E187" s="3">
        <v>108.9</v>
      </c>
      <c r="F187" s="4">
        <f t="shared" si="1"/>
        <v>0.4723271928</v>
      </c>
      <c r="G187" s="4">
        <f t="shared" si="2"/>
        <v>0.8211056451</v>
      </c>
    </row>
    <row r="188">
      <c r="A188" s="3">
        <v>172.0</v>
      </c>
      <c r="B188" s="3" t="s">
        <v>56</v>
      </c>
      <c r="C188" s="3">
        <v>-0.28</v>
      </c>
      <c r="D188" s="3">
        <v>106.3</v>
      </c>
      <c r="E188" s="3">
        <v>106.6</v>
      </c>
      <c r="F188" s="4">
        <f t="shared" si="1"/>
        <v>0.4929549003</v>
      </c>
      <c r="G188" s="4">
        <f t="shared" si="2"/>
        <v>0.8086456939</v>
      </c>
      <c r="H188" s="3" t="s">
        <v>515</v>
      </c>
      <c r="I188" s="11">
        <v>-8.44519145189999</v>
      </c>
    </row>
    <row r="189" hidden="1">
      <c r="A189" s="3">
        <v>188.0</v>
      </c>
      <c r="B189" s="3" t="s">
        <v>140</v>
      </c>
      <c r="C189" s="3">
        <v>-1.31</v>
      </c>
      <c r="D189" s="3">
        <v>102.9</v>
      </c>
      <c r="E189" s="3">
        <v>104.2</v>
      </c>
      <c r="F189" s="4">
        <f t="shared" si="1"/>
        <v>0.4686549435</v>
      </c>
      <c r="G189" s="4">
        <f t="shared" si="2"/>
        <v>0.8232606415</v>
      </c>
    </row>
    <row r="190" hidden="1">
      <c r="A190" s="3">
        <v>189.0</v>
      </c>
      <c r="B190" s="3" t="s">
        <v>155</v>
      </c>
      <c r="C190" s="3">
        <v>-1.32</v>
      </c>
      <c r="D190" s="3">
        <v>103.8</v>
      </c>
      <c r="E190" s="3">
        <v>105.1</v>
      </c>
      <c r="F190" s="4">
        <f t="shared" si="1"/>
        <v>0.468924338</v>
      </c>
      <c r="G190" s="4">
        <f t="shared" si="2"/>
        <v>0.8231031828</v>
      </c>
    </row>
    <row r="191" hidden="1">
      <c r="A191" s="3">
        <v>190.0</v>
      </c>
      <c r="B191" s="3" t="s">
        <v>424</v>
      </c>
      <c r="C191" s="3">
        <v>-1.47</v>
      </c>
      <c r="D191" s="3">
        <v>100.3</v>
      </c>
      <c r="E191" s="3">
        <v>101.8</v>
      </c>
      <c r="F191" s="4">
        <f t="shared" si="1"/>
        <v>0.4629569744</v>
      </c>
      <c r="G191" s="4">
        <f t="shared" si="2"/>
        <v>0.8265679113</v>
      </c>
    </row>
    <row r="192" hidden="1">
      <c r="A192" s="3">
        <v>191.0</v>
      </c>
      <c r="B192" s="3" t="s">
        <v>572</v>
      </c>
      <c r="C192" s="3">
        <v>-1.5</v>
      </c>
      <c r="D192" s="3">
        <v>105.0</v>
      </c>
      <c r="E192" s="3">
        <v>106.5</v>
      </c>
      <c r="F192" s="4">
        <f t="shared" si="1"/>
        <v>0.4645977515</v>
      </c>
      <c r="G192" s="4">
        <f t="shared" si="2"/>
        <v>0.8256200638</v>
      </c>
    </row>
    <row r="193" hidden="1">
      <c r="A193" s="3">
        <v>192.0</v>
      </c>
      <c r="B193" s="3" t="s">
        <v>168</v>
      </c>
      <c r="C193" s="3">
        <v>-1.59</v>
      </c>
      <c r="D193" s="3">
        <v>98.7</v>
      </c>
      <c r="E193" s="3">
        <v>100.3</v>
      </c>
      <c r="F193" s="4">
        <f t="shared" si="1"/>
        <v>0.4598845371</v>
      </c>
      <c r="G193" s="4">
        <f t="shared" si="2"/>
        <v>0.8283330964</v>
      </c>
    </row>
    <row r="194" hidden="1">
      <c r="A194" s="3">
        <v>193.0</v>
      </c>
      <c r="B194" s="3" t="s">
        <v>278</v>
      </c>
      <c r="C194" s="3">
        <v>-1.62</v>
      </c>
      <c r="D194" s="3">
        <v>103.4</v>
      </c>
      <c r="E194" s="3">
        <v>105.0</v>
      </c>
      <c r="F194" s="4">
        <f t="shared" si="1"/>
        <v>0.4616867818</v>
      </c>
      <c r="G194" s="4">
        <f t="shared" si="2"/>
        <v>0.827299195</v>
      </c>
    </row>
    <row r="195" hidden="1">
      <c r="A195" s="3">
        <v>194.0</v>
      </c>
      <c r="B195" s="3" t="s">
        <v>438</v>
      </c>
      <c r="C195" s="3">
        <v>-1.69</v>
      </c>
      <c r="D195" s="3">
        <v>100.9</v>
      </c>
      <c r="E195" s="3">
        <v>102.6</v>
      </c>
      <c r="F195" s="4">
        <f t="shared" si="1"/>
        <v>0.4583268861</v>
      </c>
      <c r="G195" s="4">
        <f t="shared" si="2"/>
        <v>0.8292232031</v>
      </c>
    </row>
    <row r="196" hidden="1">
      <c r="A196" s="3">
        <v>195.0</v>
      </c>
      <c r="B196" s="3" t="s">
        <v>227</v>
      </c>
      <c r="C196" s="3">
        <v>-1.76</v>
      </c>
      <c r="D196" s="3">
        <v>99.7</v>
      </c>
      <c r="E196" s="3">
        <v>101.5</v>
      </c>
      <c r="F196" s="4">
        <f t="shared" si="1"/>
        <v>0.4553861639</v>
      </c>
      <c r="G196" s="4">
        <f t="shared" si="2"/>
        <v>0.8308949286</v>
      </c>
    </row>
    <row r="197" hidden="1">
      <c r="A197" s="3">
        <v>196.0</v>
      </c>
      <c r="B197" s="3" t="s">
        <v>363</v>
      </c>
      <c r="C197" s="3">
        <v>-1.81</v>
      </c>
      <c r="D197" s="3">
        <v>105.6</v>
      </c>
      <c r="E197" s="3">
        <v>107.4</v>
      </c>
      <c r="F197" s="4">
        <f t="shared" si="1"/>
        <v>0.4578457773</v>
      </c>
      <c r="G197" s="4">
        <f t="shared" si="2"/>
        <v>0.8294974799</v>
      </c>
    </row>
    <row r="198" hidden="1">
      <c r="A198" s="3">
        <v>197.0</v>
      </c>
      <c r="B198" s="3" t="s">
        <v>545</v>
      </c>
      <c r="C198" s="3">
        <v>-1.98</v>
      </c>
      <c r="D198" s="3">
        <v>103.3</v>
      </c>
      <c r="E198" s="3">
        <v>105.3</v>
      </c>
      <c r="F198" s="4">
        <f t="shared" si="1"/>
        <v>0.452206259</v>
      </c>
      <c r="G198" s="4">
        <f t="shared" si="2"/>
        <v>0.8326898985</v>
      </c>
    </row>
    <row r="199" hidden="1">
      <c r="A199" s="3">
        <v>198.0</v>
      </c>
      <c r="B199" s="3" t="s">
        <v>341</v>
      </c>
      <c r="C199" s="3">
        <v>-2.09</v>
      </c>
      <c r="D199" s="3">
        <v>100.9</v>
      </c>
      <c r="E199" s="3">
        <v>103.0</v>
      </c>
      <c r="F199" s="4">
        <f t="shared" si="1"/>
        <v>0.4486836747</v>
      </c>
      <c r="G199" s="4">
        <f t="shared" si="2"/>
        <v>0.8346630358</v>
      </c>
    </row>
    <row r="200" hidden="1">
      <c r="A200" s="3">
        <v>199.0</v>
      </c>
      <c r="B200" s="3" t="s">
        <v>486</v>
      </c>
      <c r="C200" s="3">
        <v>-2.43</v>
      </c>
      <c r="D200" s="3">
        <v>98.6</v>
      </c>
      <c r="E200" s="3">
        <v>101.1</v>
      </c>
      <c r="F200" s="4">
        <f t="shared" si="1"/>
        <v>0.4377278428</v>
      </c>
      <c r="G200" s="4">
        <f t="shared" si="2"/>
        <v>0.8406993129</v>
      </c>
    </row>
    <row r="201" hidden="1">
      <c r="A201" s="3">
        <v>200.0</v>
      </c>
      <c r="B201" s="3" t="s">
        <v>466</v>
      </c>
      <c r="C201" s="3">
        <v>-2.48</v>
      </c>
      <c r="D201" s="3">
        <v>107.9</v>
      </c>
      <c r="E201" s="3">
        <v>110.4</v>
      </c>
      <c r="F201" s="4">
        <f t="shared" si="1"/>
        <v>0.4429858992</v>
      </c>
      <c r="G201" s="4">
        <f t="shared" si="2"/>
        <v>0.837821094</v>
      </c>
    </row>
    <row r="202" hidden="1">
      <c r="A202" s="3">
        <v>201.0</v>
      </c>
      <c r="B202" s="3" t="s">
        <v>291</v>
      </c>
      <c r="C202" s="3">
        <v>-2.52</v>
      </c>
      <c r="D202" s="3">
        <v>104.9</v>
      </c>
      <c r="E202" s="3">
        <v>107.4</v>
      </c>
      <c r="F202" s="4">
        <f t="shared" si="1"/>
        <v>0.4413890261</v>
      </c>
      <c r="G202" s="4">
        <f t="shared" si="2"/>
        <v>0.8386988452</v>
      </c>
    </row>
    <row r="203" hidden="1">
      <c r="A203" s="3">
        <v>202.0</v>
      </c>
      <c r="B203" s="3" t="s">
        <v>451</v>
      </c>
      <c r="C203" s="3">
        <v>-2.63</v>
      </c>
      <c r="D203" s="3">
        <v>102.7</v>
      </c>
      <c r="E203" s="3">
        <v>105.4</v>
      </c>
      <c r="F203" s="4">
        <f t="shared" si="1"/>
        <v>0.4354853469</v>
      </c>
      <c r="G203" s="4">
        <f t="shared" si="2"/>
        <v>0.8419164483</v>
      </c>
    </row>
    <row r="204" hidden="1">
      <c r="A204" s="3">
        <v>203.0</v>
      </c>
      <c r="B204" s="3" t="s">
        <v>342</v>
      </c>
      <c r="C204" s="3">
        <v>-2.71</v>
      </c>
      <c r="D204" s="3">
        <v>105.8</v>
      </c>
      <c r="E204" s="3">
        <v>108.5</v>
      </c>
      <c r="F204" s="4">
        <f t="shared" si="1"/>
        <v>0.4373321448</v>
      </c>
      <c r="G204" s="4">
        <f t="shared" si="2"/>
        <v>0.8409145301</v>
      </c>
    </row>
    <row r="205" hidden="1">
      <c r="A205" s="3">
        <v>204.0</v>
      </c>
      <c r="B205" s="3" t="s">
        <v>346</v>
      </c>
      <c r="C205" s="3">
        <v>-2.75</v>
      </c>
      <c r="D205" s="3">
        <v>100.3</v>
      </c>
      <c r="E205" s="3">
        <v>103.0</v>
      </c>
      <c r="F205" s="4">
        <f t="shared" si="1"/>
        <v>0.4339795162</v>
      </c>
      <c r="G205" s="4">
        <f t="shared" si="2"/>
        <v>0.8427303009</v>
      </c>
    </row>
    <row r="206" hidden="1">
      <c r="A206" s="3">
        <v>205.0</v>
      </c>
      <c r="B206" s="3" t="s">
        <v>565</v>
      </c>
      <c r="C206" s="3">
        <v>-2.79</v>
      </c>
      <c r="D206" s="3">
        <v>100.8</v>
      </c>
      <c r="E206" s="3">
        <v>103.6</v>
      </c>
      <c r="F206" s="4">
        <f t="shared" si="1"/>
        <v>0.4319278826</v>
      </c>
      <c r="G206" s="4">
        <f t="shared" si="2"/>
        <v>0.8438347089</v>
      </c>
    </row>
    <row r="207" hidden="1">
      <c r="A207" s="3">
        <v>206.0</v>
      </c>
      <c r="B207" s="3" t="s">
        <v>332</v>
      </c>
      <c r="C207" s="3">
        <v>-2.85</v>
      </c>
      <c r="D207" s="3">
        <v>100.6</v>
      </c>
      <c r="E207" s="3">
        <v>103.5</v>
      </c>
      <c r="F207" s="4">
        <f t="shared" si="1"/>
        <v>0.4294259726</v>
      </c>
      <c r="G207" s="4">
        <f t="shared" si="2"/>
        <v>0.8451746306</v>
      </c>
    </row>
    <row r="208" hidden="1">
      <c r="A208" s="3">
        <v>207.0</v>
      </c>
      <c r="B208" s="3" t="s">
        <v>369</v>
      </c>
      <c r="C208" s="3">
        <v>-2.88</v>
      </c>
      <c r="D208" s="3">
        <v>100.8</v>
      </c>
      <c r="E208" s="3">
        <v>103.7</v>
      </c>
      <c r="F208" s="4">
        <f t="shared" si="1"/>
        <v>0.4295621975</v>
      </c>
      <c r="G208" s="4">
        <f t="shared" si="2"/>
        <v>0.8451018675</v>
      </c>
    </row>
    <row r="209" hidden="1">
      <c r="A209" s="3">
        <v>208.0</v>
      </c>
      <c r="B209" s="3" t="s">
        <v>394</v>
      </c>
      <c r="C209" s="3">
        <v>-2.96</v>
      </c>
      <c r="D209" s="3">
        <v>104.4</v>
      </c>
      <c r="E209" s="3">
        <v>107.4</v>
      </c>
      <c r="F209" s="4">
        <f t="shared" si="1"/>
        <v>0.429643682</v>
      </c>
      <c r="G209" s="4">
        <f t="shared" si="2"/>
        <v>0.8450583328</v>
      </c>
    </row>
    <row r="210" hidden="1">
      <c r="A210" s="3">
        <v>209.0</v>
      </c>
      <c r="B210" s="3" t="s">
        <v>125</v>
      </c>
      <c r="C210" s="3">
        <v>-2.97</v>
      </c>
      <c r="D210" s="3">
        <v>102.3</v>
      </c>
      <c r="E210" s="3">
        <v>105.3</v>
      </c>
      <c r="F210" s="4">
        <f t="shared" si="1"/>
        <v>0.4282395287</v>
      </c>
      <c r="G210" s="4">
        <f t="shared" si="2"/>
        <v>0.8458074188</v>
      </c>
    </row>
    <row r="211" hidden="1">
      <c r="A211" s="3">
        <v>210.0</v>
      </c>
      <c r="B211" s="3" t="s">
        <v>472</v>
      </c>
      <c r="C211" s="3">
        <v>-3.05</v>
      </c>
      <c r="D211" s="3">
        <v>104.4</v>
      </c>
      <c r="E211" s="3">
        <v>107.5</v>
      </c>
      <c r="F211" s="4">
        <f t="shared" si="1"/>
        <v>0.427364595</v>
      </c>
      <c r="G211" s="4">
        <f t="shared" si="2"/>
        <v>0.8462729879</v>
      </c>
    </row>
    <row r="212" hidden="1">
      <c r="A212" s="3">
        <v>211.0</v>
      </c>
      <c r="B212" s="3" t="s">
        <v>531</v>
      </c>
      <c r="C212" s="3">
        <v>-3.34</v>
      </c>
      <c r="D212" s="3">
        <v>106.2</v>
      </c>
      <c r="E212" s="3">
        <v>109.5</v>
      </c>
      <c r="F212" s="4">
        <f t="shared" si="1"/>
        <v>0.4240903168</v>
      </c>
      <c r="G212" s="4">
        <f t="shared" si="2"/>
        <v>0.8480072407</v>
      </c>
    </row>
    <row r="213" hidden="1">
      <c r="A213" s="3">
        <v>212.0</v>
      </c>
      <c r="B213" s="3" t="s">
        <v>538</v>
      </c>
      <c r="C213" s="3">
        <v>-3.39</v>
      </c>
      <c r="D213" s="3">
        <v>99.6</v>
      </c>
      <c r="E213" s="3">
        <v>103.0</v>
      </c>
      <c r="F213" s="4">
        <f t="shared" si="1"/>
        <v>0.4168620965</v>
      </c>
      <c r="G213" s="4">
        <f t="shared" si="2"/>
        <v>0.8517912993</v>
      </c>
    </row>
    <row r="214" hidden="1">
      <c r="A214" s="3">
        <v>213.0</v>
      </c>
      <c r="B214" s="3" t="s">
        <v>461</v>
      </c>
      <c r="C214" s="3">
        <v>-3.46</v>
      </c>
      <c r="D214" s="3">
        <v>100.7</v>
      </c>
      <c r="E214" s="3">
        <v>104.2</v>
      </c>
      <c r="F214" s="4">
        <f t="shared" si="1"/>
        <v>0.4154054993</v>
      </c>
      <c r="G214" s="4">
        <f t="shared" si="2"/>
        <v>0.8525465378</v>
      </c>
    </row>
    <row r="215" hidden="1">
      <c r="A215" s="3">
        <v>214.0</v>
      </c>
      <c r="B215" s="3" t="s">
        <v>579</v>
      </c>
      <c r="C215" s="3">
        <v>-3.55</v>
      </c>
      <c r="D215" s="3">
        <v>100.0</v>
      </c>
      <c r="E215" s="3">
        <v>103.5</v>
      </c>
      <c r="F215" s="4">
        <f t="shared" si="1"/>
        <v>0.4148346943</v>
      </c>
      <c r="G215" s="4">
        <f t="shared" si="2"/>
        <v>0.8528418357</v>
      </c>
    </row>
    <row r="216" hidden="1">
      <c r="A216" s="3">
        <v>215.0</v>
      </c>
      <c r="B216" s="3" t="s">
        <v>414</v>
      </c>
      <c r="C216" s="3">
        <v>-3.63</v>
      </c>
      <c r="D216" s="3">
        <v>96.7</v>
      </c>
      <c r="E216" s="3">
        <v>100.3</v>
      </c>
      <c r="F216" s="4">
        <f t="shared" si="1"/>
        <v>0.4096232821</v>
      </c>
      <c r="G216" s="4">
        <f t="shared" si="2"/>
        <v>0.8555207948</v>
      </c>
    </row>
    <row r="217" hidden="1">
      <c r="A217" s="3">
        <v>216.0</v>
      </c>
      <c r="B217" s="3" t="s">
        <v>356</v>
      </c>
      <c r="C217" s="3">
        <v>-3.82</v>
      </c>
      <c r="D217" s="3">
        <v>107.7</v>
      </c>
      <c r="E217" s="3">
        <v>111.5</v>
      </c>
      <c r="F217" s="4">
        <f t="shared" si="1"/>
        <v>0.4141707425</v>
      </c>
      <c r="G217" s="4">
        <f t="shared" si="2"/>
        <v>0.8531848546</v>
      </c>
    </row>
    <row r="218" hidden="1">
      <c r="A218" s="3">
        <v>217.0</v>
      </c>
      <c r="B218" s="3" t="s">
        <v>314</v>
      </c>
      <c r="C218" s="3">
        <v>-3.86</v>
      </c>
      <c r="D218" s="3">
        <v>104.1</v>
      </c>
      <c r="E218" s="3">
        <v>107.9</v>
      </c>
      <c r="F218" s="4">
        <f t="shared" si="1"/>
        <v>0.4113157083</v>
      </c>
      <c r="G218" s="4">
        <f t="shared" si="2"/>
        <v>0.8546541554</v>
      </c>
    </row>
    <row r="219" hidden="1">
      <c r="A219" s="3">
        <v>218.0</v>
      </c>
      <c r="B219" s="3" t="s">
        <v>448</v>
      </c>
      <c r="C219" s="3">
        <v>-3.99</v>
      </c>
      <c r="D219" s="3">
        <v>105.4</v>
      </c>
      <c r="E219" s="3">
        <v>109.4</v>
      </c>
      <c r="F219" s="4">
        <f t="shared" si="1"/>
        <v>0.4079412891</v>
      </c>
      <c r="G219" s="4">
        <f t="shared" si="2"/>
        <v>0.8563789109</v>
      </c>
    </row>
    <row r="220" hidden="1">
      <c r="A220" s="3">
        <v>219.0</v>
      </c>
      <c r="B220" s="3" t="s">
        <v>166</v>
      </c>
      <c r="C220" s="3">
        <v>-3.99</v>
      </c>
      <c r="D220" s="3">
        <v>106.7</v>
      </c>
      <c r="E220" s="3">
        <v>110.6</v>
      </c>
      <c r="F220" s="4">
        <f t="shared" si="1"/>
        <v>0.411204248</v>
      </c>
      <c r="G220" s="4">
        <f t="shared" si="2"/>
        <v>0.8547113298</v>
      </c>
    </row>
    <row r="221" hidden="1">
      <c r="A221" s="3">
        <v>220.0</v>
      </c>
      <c r="B221" s="3" t="s">
        <v>382</v>
      </c>
      <c r="C221" s="3">
        <v>-4.15</v>
      </c>
      <c r="D221" s="3">
        <v>105.6</v>
      </c>
      <c r="E221" s="3">
        <v>109.7</v>
      </c>
      <c r="F221" s="4">
        <f t="shared" si="1"/>
        <v>0.4059074445</v>
      </c>
      <c r="G221" s="4">
        <f t="shared" si="2"/>
        <v>0.8574123239</v>
      </c>
    </row>
    <row r="222" hidden="1">
      <c r="A222" s="3">
        <v>221.0</v>
      </c>
      <c r="B222" s="3" t="s">
        <v>334</v>
      </c>
      <c r="C222" s="3">
        <v>-4.24</v>
      </c>
      <c r="D222" s="3">
        <v>97.9</v>
      </c>
      <c r="E222" s="3">
        <v>102.1</v>
      </c>
      <c r="F222" s="4">
        <f t="shared" si="1"/>
        <v>0.3965019725</v>
      </c>
      <c r="G222" s="4">
        <f t="shared" si="2"/>
        <v>0.8621322326</v>
      </c>
    </row>
    <row r="223" hidden="1">
      <c r="A223" s="3">
        <v>222.0</v>
      </c>
      <c r="B223" s="3" t="s">
        <v>286</v>
      </c>
      <c r="C223" s="3">
        <v>-4.28</v>
      </c>
      <c r="D223" s="3">
        <v>97.7</v>
      </c>
      <c r="E223" s="3">
        <v>102.0</v>
      </c>
      <c r="F223" s="4">
        <f t="shared" si="1"/>
        <v>0.3939561959</v>
      </c>
      <c r="G223" s="4">
        <f t="shared" si="2"/>
        <v>0.8633933118</v>
      </c>
    </row>
    <row r="224" hidden="1">
      <c r="A224" s="3">
        <v>223.0</v>
      </c>
      <c r="B224" s="3" t="s">
        <v>115</v>
      </c>
      <c r="C224" s="3">
        <v>-4.32</v>
      </c>
      <c r="D224" s="3">
        <v>104.7</v>
      </c>
      <c r="E224" s="3">
        <v>109.0</v>
      </c>
      <c r="F224" s="4">
        <f t="shared" si="1"/>
        <v>0.4007148038</v>
      </c>
      <c r="G224" s="4">
        <f t="shared" si="2"/>
        <v>0.8600300447</v>
      </c>
    </row>
    <row r="225" hidden="1">
      <c r="A225" s="3">
        <v>224.0</v>
      </c>
      <c r="B225" s="3" t="s">
        <v>379</v>
      </c>
      <c r="C225" s="3">
        <v>-4.4</v>
      </c>
      <c r="D225" s="3">
        <v>99.2</v>
      </c>
      <c r="E225" s="3">
        <v>103.6</v>
      </c>
      <c r="F225" s="4">
        <f t="shared" si="1"/>
        <v>0.3931732072</v>
      </c>
      <c r="G225" s="4">
        <f t="shared" si="2"/>
        <v>0.8637797836</v>
      </c>
    </row>
    <row r="226" hidden="1">
      <c r="A226" s="3">
        <v>225.0</v>
      </c>
      <c r="B226" s="3" t="s">
        <v>345</v>
      </c>
      <c r="C226" s="3">
        <v>-4.41</v>
      </c>
      <c r="D226" s="3">
        <v>98.8</v>
      </c>
      <c r="E226" s="3">
        <v>103.2</v>
      </c>
      <c r="F226" s="4">
        <f t="shared" si="1"/>
        <v>0.3927630716</v>
      </c>
      <c r="G226" s="4">
        <f t="shared" si="2"/>
        <v>0.8639819605</v>
      </c>
    </row>
    <row r="227" hidden="1">
      <c r="A227" s="3">
        <v>226.0</v>
      </c>
      <c r="B227" s="3" t="s">
        <v>357</v>
      </c>
      <c r="C227" s="3">
        <v>-4.46</v>
      </c>
      <c r="D227" s="3">
        <v>99.3</v>
      </c>
      <c r="E227" s="3">
        <v>103.8</v>
      </c>
      <c r="F227" s="4">
        <f t="shared" si="1"/>
        <v>0.3909777863</v>
      </c>
      <c r="G227" s="4">
        <f t="shared" si="2"/>
        <v>0.8648599436</v>
      </c>
    </row>
    <row r="228" hidden="1">
      <c r="A228" s="3">
        <v>227.0</v>
      </c>
      <c r="B228" s="3" t="s">
        <v>139</v>
      </c>
      <c r="C228" s="3">
        <v>-4.66</v>
      </c>
      <c r="D228" s="3">
        <v>102.6</v>
      </c>
      <c r="E228" s="3">
        <v>107.3</v>
      </c>
      <c r="F228" s="4">
        <f t="shared" si="1"/>
        <v>0.3898584704</v>
      </c>
      <c r="G228" s="4">
        <f t="shared" si="2"/>
        <v>0.8654086946</v>
      </c>
    </row>
    <row r="229" hidden="1">
      <c r="A229" s="3">
        <v>228.0</v>
      </c>
      <c r="B229" s="3" t="s">
        <v>381</v>
      </c>
      <c r="C229" s="3">
        <v>-4.68</v>
      </c>
      <c r="D229" s="3">
        <v>97.8</v>
      </c>
      <c r="E229" s="3">
        <v>102.4</v>
      </c>
      <c r="F229" s="4">
        <f t="shared" si="1"/>
        <v>0.3870756527</v>
      </c>
      <c r="G229" s="4">
        <f t="shared" si="2"/>
        <v>0.8667672909</v>
      </c>
    </row>
    <row r="230" hidden="1">
      <c r="A230" s="3">
        <v>229.0</v>
      </c>
      <c r="B230" s="3" t="s">
        <v>349</v>
      </c>
      <c r="C230" s="3">
        <v>-4.68</v>
      </c>
      <c r="D230" s="3">
        <v>98.9</v>
      </c>
      <c r="E230" s="3">
        <v>103.6</v>
      </c>
      <c r="F230" s="4">
        <f t="shared" si="1"/>
        <v>0.3859707652</v>
      </c>
      <c r="G230" s="4">
        <f t="shared" si="2"/>
        <v>0.8673044657</v>
      </c>
    </row>
    <row r="231" hidden="1">
      <c r="A231" s="3">
        <v>230.0</v>
      </c>
      <c r="B231" s="3" t="s">
        <v>529</v>
      </c>
      <c r="C231" s="3">
        <v>-4.78</v>
      </c>
      <c r="D231" s="3">
        <v>98.3</v>
      </c>
      <c r="E231" s="3">
        <v>103.0</v>
      </c>
      <c r="F231" s="4">
        <f t="shared" si="1"/>
        <v>0.3853147985</v>
      </c>
      <c r="G231" s="4">
        <f t="shared" si="2"/>
        <v>0.8676227842</v>
      </c>
    </row>
    <row r="232" hidden="1">
      <c r="A232" s="3">
        <v>231.0</v>
      </c>
      <c r="B232" s="3" t="s">
        <v>330</v>
      </c>
      <c r="C232" s="3">
        <v>-4.96</v>
      </c>
      <c r="D232" s="3">
        <v>102.9</v>
      </c>
      <c r="E232" s="3">
        <v>107.9</v>
      </c>
      <c r="F232" s="4">
        <f t="shared" si="1"/>
        <v>0.3835582593</v>
      </c>
      <c r="G232" s="4">
        <f t="shared" si="2"/>
        <v>0.8684729814</v>
      </c>
    </row>
    <row r="233" hidden="1">
      <c r="A233" s="3">
        <v>232.0</v>
      </c>
      <c r="B233" s="3" t="s">
        <v>409</v>
      </c>
      <c r="C233" s="3">
        <v>-5.01</v>
      </c>
      <c r="D233" s="3">
        <v>96.3</v>
      </c>
      <c r="E233" s="3">
        <v>101.3</v>
      </c>
      <c r="F233" s="4">
        <f t="shared" si="1"/>
        <v>0.3760892318</v>
      </c>
      <c r="G233" s="4">
        <f t="shared" si="2"/>
        <v>0.8720528577</v>
      </c>
    </row>
    <row r="234" hidden="1">
      <c r="A234" s="3">
        <v>233.0</v>
      </c>
      <c r="B234" s="3" t="s">
        <v>551</v>
      </c>
      <c r="C234" s="3">
        <v>-5.36</v>
      </c>
      <c r="D234" s="3">
        <v>105.4</v>
      </c>
      <c r="E234" s="3">
        <v>110.8</v>
      </c>
      <c r="F234" s="4">
        <f t="shared" si="1"/>
        <v>0.377624949</v>
      </c>
      <c r="G234" s="4">
        <f t="shared" si="2"/>
        <v>0.8713214203</v>
      </c>
    </row>
    <row r="235" hidden="1">
      <c r="A235" s="3">
        <v>234.0</v>
      </c>
      <c r="B235" s="3" t="s">
        <v>118</v>
      </c>
      <c r="C235" s="3">
        <v>-5.45</v>
      </c>
      <c r="D235" s="3">
        <v>100.3</v>
      </c>
      <c r="E235" s="3">
        <v>105.7</v>
      </c>
      <c r="F235" s="4">
        <f t="shared" si="1"/>
        <v>0.3718258169</v>
      </c>
      <c r="G235" s="4">
        <f t="shared" si="2"/>
        <v>0.8740710565</v>
      </c>
    </row>
    <row r="236" hidden="1">
      <c r="A236" s="3">
        <v>235.0</v>
      </c>
      <c r="B236" s="3" t="s">
        <v>595</v>
      </c>
      <c r="C236" s="3">
        <v>-5.51</v>
      </c>
      <c r="D236" s="3">
        <v>99.7</v>
      </c>
      <c r="E236" s="3">
        <v>105.2</v>
      </c>
      <c r="F236" s="4">
        <f t="shared" si="1"/>
        <v>0.3688912674</v>
      </c>
      <c r="G236" s="4">
        <f t="shared" si="2"/>
        <v>0.8754497079</v>
      </c>
    </row>
    <row r="237" hidden="1">
      <c r="A237" s="3">
        <v>236.0</v>
      </c>
      <c r="B237" s="3" t="s">
        <v>501</v>
      </c>
      <c r="C237" s="3">
        <v>-5.57</v>
      </c>
      <c r="D237" s="3">
        <v>105.6</v>
      </c>
      <c r="E237" s="3">
        <v>111.2</v>
      </c>
      <c r="F237" s="4">
        <f t="shared" si="1"/>
        <v>0.373619502</v>
      </c>
      <c r="G237" s="4">
        <f t="shared" si="2"/>
        <v>0.8732241807</v>
      </c>
    </row>
    <row r="238" hidden="1">
      <c r="A238" s="3">
        <v>237.0</v>
      </c>
      <c r="B238" s="3" t="s">
        <v>319</v>
      </c>
      <c r="C238" s="3">
        <v>-5.67</v>
      </c>
      <c r="D238" s="3">
        <v>98.6</v>
      </c>
      <c r="E238" s="3">
        <v>104.3</v>
      </c>
      <c r="F238" s="4">
        <f t="shared" si="1"/>
        <v>0.3630845925</v>
      </c>
      <c r="G238" s="4">
        <f t="shared" si="2"/>
        <v>0.8781528086</v>
      </c>
    </row>
    <row r="239" hidden="1">
      <c r="A239" s="3">
        <v>238.0</v>
      </c>
      <c r="B239" s="3" t="s">
        <v>391</v>
      </c>
      <c r="C239" s="3">
        <v>-5.74</v>
      </c>
      <c r="D239" s="3">
        <v>101.2</v>
      </c>
      <c r="E239" s="3">
        <v>106.9</v>
      </c>
      <c r="F239" s="4">
        <f t="shared" si="1"/>
        <v>0.3663400133</v>
      </c>
      <c r="G239" s="4">
        <f t="shared" si="2"/>
        <v>0.8766414048</v>
      </c>
    </row>
    <row r="240" hidden="1">
      <c r="A240" s="3">
        <v>239.0</v>
      </c>
      <c r="B240" s="3" t="s">
        <v>507</v>
      </c>
      <c r="C240" s="3">
        <v>-5.77</v>
      </c>
      <c r="D240" s="3">
        <v>98.1</v>
      </c>
      <c r="E240" s="3">
        <v>103.9</v>
      </c>
      <c r="F240" s="4">
        <f t="shared" si="1"/>
        <v>0.3602186394</v>
      </c>
      <c r="G240" s="4">
        <f t="shared" si="2"/>
        <v>0.8794749219</v>
      </c>
    </row>
    <row r="241" hidden="1">
      <c r="A241" s="3">
        <v>240.0</v>
      </c>
      <c r="B241" s="3" t="s">
        <v>561</v>
      </c>
      <c r="C241" s="3">
        <v>-6.01</v>
      </c>
      <c r="D241" s="3">
        <v>103.8</v>
      </c>
      <c r="E241" s="3">
        <v>109.8</v>
      </c>
      <c r="F241" s="4">
        <f t="shared" si="1"/>
        <v>0.3630974089</v>
      </c>
      <c r="G241" s="4">
        <f t="shared" si="2"/>
        <v>0.8781468785</v>
      </c>
    </row>
    <row r="242" hidden="1">
      <c r="A242" s="3">
        <v>241.0</v>
      </c>
      <c r="B242" s="3" t="s">
        <v>408</v>
      </c>
      <c r="C242" s="3">
        <v>-6.04</v>
      </c>
      <c r="D242" s="3">
        <v>101.2</v>
      </c>
      <c r="E242" s="3">
        <v>107.2</v>
      </c>
      <c r="F242" s="4">
        <f t="shared" si="1"/>
        <v>0.35985929</v>
      </c>
      <c r="G242" s="4">
        <f t="shared" si="2"/>
        <v>0.8796401401</v>
      </c>
    </row>
    <row r="243" hidden="1">
      <c r="A243" s="3">
        <v>242.0</v>
      </c>
      <c r="B243" s="3" t="s">
        <v>167</v>
      </c>
      <c r="C243" s="3">
        <v>-6.16</v>
      </c>
      <c r="D243" s="3">
        <v>98.4</v>
      </c>
      <c r="E243" s="3">
        <v>104.5</v>
      </c>
      <c r="F243" s="4">
        <f t="shared" si="1"/>
        <v>0.3540091285</v>
      </c>
      <c r="G243" s="4">
        <f t="shared" si="2"/>
        <v>0.8823126105</v>
      </c>
    </row>
    <row r="244" hidden="1">
      <c r="A244" s="3">
        <v>243.0</v>
      </c>
      <c r="B244" s="3" t="s">
        <v>399</v>
      </c>
      <c r="C244" s="3">
        <v>-6.32</v>
      </c>
      <c r="D244" s="3">
        <v>103.0</v>
      </c>
      <c r="E244" s="3">
        <v>109.4</v>
      </c>
      <c r="F244" s="4">
        <f t="shared" si="1"/>
        <v>0.3536990121</v>
      </c>
      <c r="G244" s="4">
        <f t="shared" si="2"/>
        <v>0.8824533763</v>
      </c>
    </row>
    <row r="245" hidden="1">
      <c r="A245" s="3">
        <v>244.0</v>
      </c>
      <c r="B245" s="3" t="s">
        <v>564</v>
      </c>
      <c r="C245" s="3">
        <v>-6.41</v>
      </c>
      <c r="D245" s="3">
        <v>104.1</v>
      </c>
      <c r="E245" s="3">
        <v>110.5</v>
      </c>
      <c r="F245" s="4">
        <f t="shared" si="1"/>
        <v>0.3551138257</v>
      </c>
      <c r="G245" s="4">
        <f t="shared" si="2"/>
        <v>0.8818104404</v>
      </c>
    </row>
    <row r="246" hidden="1">
      <c r="A246" s="3">
        <v>245.0</v>
      </c>
      <c r="B246" s="3" t="s">
        <v>540</v>
      </c>
      <c r="C246" s="3">
        <v>-6.55</v>
      </c>
      <c r="D246" s="3">
        <v>96.6</v>
      </c>
      <c r="E246" s="3">
        <v>103.2</v>
      </c>
      <c r="F246" s="4">
        <f t="shared" si="1"/>
        <v>0.3405372169</v>
      </c>
      <c r="G246" s="4">
        <f t="shared" si="2"/>
        <v>0.888345653</v>
      </c>
    </row>
    <row r="247" hidden="1">
      <c r="A247" s="3">
        <v>246.0</v>
      </c>
      <c r="B247" s="3" t="s">
        <v>402</v>
      </c>
      <c r="C247" s="3">
        <v>-6.56</v>
      </c>
      <c r="D247" s="3">
        <v>96.1</v>
      </c>
      <c r="E247" s="3">
        <v>102.6</v>
      </c>
      <c r="F247" s="4">
        <f t="shared" si="1"/>
        <v>0.341979303</v>
      </c>
      <c r="G247" s="4">
        <f t="shared" si="2"/>
        <v>0.8877077822</v>
      </c>
    </row>
    <row r="248" hidden="1">
      <c r="A248" s="3">
        <v>247.0</v>
      </c>
      <c r="B248" s="3" t="s">
        <v>467</v>
      </c>
      <c r="C248" s="3">
        <v>-6.58</v>
      </c>
      <c r="D248" s="3">
        <v>99.9</v>
      </c>
      <c r="E248" s="3">
        <v>106.5</v>
      </c>
      <c r="F248" s="4">
        <f t="shared" si="1"/>
        <v>0.3453023774</v>
      </c>
      <c r="G248" s="4">
        <f t="shared" si="2"/>
        <v>0.8862307297</v>
      </c>
    </row>
    <row r="249" hidden="1">
      <c r="A249" s="3">
        <v>248.0</v>
      </c>
      <c r="B249" s="3" t="s">
        <v>162</v>
      </c>
      <c r="C249" s="3">
        <v>-6.67</v>
      </c>
      <c r="D249" s="3">
        <v>100.2</v>
      </c>
      <c r="E249" s="3">
        <v>106.8</v>
      </c>
      <c r="F249" s="4">
        <f t="shared" si="1"/>
        <v>0.3457219943</v>
      </c>
      <c r="G249" s="4">
        <f t="shared" si="2"/>
        <v>0.8860435015</v>
      </c>
    </row>
    <row r="250" hidden="1">
      <c r="A250" s="3">
        <v>249.0</v>
      </c>
      <c r="B250" s="3" t="s">
        <v>533</v>
      </c>
      <c r="C250" s="3">
        <v>-6.7</v>
      </c>
      <c r="D250" s="3">
        <v>96.2</v>
      </c>
      <c r="E250" s="3">
        <v>102.9</v>
      </c>
      <c r="F250" s="4">
        <f t="shared" si="1"/>
        <v>0.3377621456</v>
      </c>
      <c r="G250" s="4">
        <f t="shared" si="2"/>
        <v>0.8895678756</v>
      </c>
    </row>
    <row r="251" hidden="1">
      <c r="A251" s="3">
        <v>250.0</v>
      </c>
      <c r="B251" s="3" t="s">
        <v>422</v>
      </c>
      <c r="C251" s="3">
        <v>-6.77</v>
      </c>
      <c r="D251" s="3">
        <v>100.4</v>
      </c>
      <c r="E251" s="3">
        <v>107.1</v>
      </c>
      <c r="F251" s="4">
        <f t="shared" si="1"/>
        <v>0.3438897557</v>
      </c>
      <c r="G251" s="4">
        <f t="shared" si="2"/>
        <v>0.8868598438</v>
      </c>
    </row>
    <row r="252" hidden="1">
      <c r="A252" s="3">
        <v>251.0</v>
      </c>
      <c r="B252" s="3" t="s">
        <v>327</v>
      </c>
      <c r="C252" s="3">
        <v>-6.77</v>
      </c>
      <c r="D252" s="3">
        <v>104.1</v>
      </c>
      <c r="E252" s="3">
        <v>110.9</v>
      </c>
      <c r="F252" s="4">
        <f t="shared" si="1"/>
        <v>0.3468828984</v>
      </c>
      <c r="G252" s="4">
        <f t="shared" si="2"/>
        <v>0.8855246799</v>
      </c>
    </row>
    <row r="253" hidden="1">
      <c r="A253" s="3">
        <v>252.0</v>
      </c>
      <c r="B253" s="3" t="s">
        <v>267</v>
      </c>
      <c r="C253" s="3">
        <v>-6.83</v>
      </c>
      <c r="D253" s="3">
        <v>90.9</v>
      </c>
      <c r="E253" s="3">
        <v>97.7</v>
      </c>
      <c r="F253" s="4">
        <f t="shared" si="1"/>
        <v>0.3270813391</v>
      </c>
      <c r="G253" s="4">
        <f t="shared" si="2"/>
        <v>0.8942083743</v>
      </c>
    </row>
    <row r="254" hidden="1">
      <c r="A254" s="3">
        <v>253.0</v>
      </c>
      <c r="B254" s="3" t="s">
        <v>432</v>
      </c>
      <c r="C254" s="3">
        <v>-7.3</v>
      </c>
      <c r="D254" s="3">
        <v>96.1</v>
      </c>
      <c r="E254" s="3">
        <v>103.4</v>
      </c>
      <c r="F254" s="4">
        <f t="shared" si="1"/>
        <v>0.3247216854</v>
      </c>
      <c r="G254" s="4">
        <f t="shared" si="2"/>
        <v>0.8952201654</v>
      </c>
    </row>
    <row r="255" hidden="1">
      <c r="A255" s="3">
        <v>254.0</v>
      </c>
      <c r="B255" s="3" t="s">
        <v>532</v>
      </c>
      <c r="C255" s="3">
        <v>-7.49</v>
      </c>
      <c r="D255" s="3">
        <v>102.8</v>
      </c>
      <c r="E255" s="3">
        <v>110.3</v>
      </c>
      <c r="F255" s="4">
        <f t="shared" si="1"/>
        <v>0.3308848513</v>
      </c>
      <c r="G255" s="4">
        <f t="shared" si="2"/>
        <v>0.8925673294</v>
      </c>
    </row>
    <row r="256" hidden="1">
      <c r="A256" s="3">
        <v>255.0</v>
      </c>
      <c r="B256" s="3" t="s">
        <v>403</v>
      </c>
      <c r="C256" s="3">
        <v>-7.65</v>
      </c>
      <c r="D256" s="3">
        <v>97.0</v>
      </c>
      <c r="E256" s="3">
        <v>104.6</v>
      </c>
      <c r="F256" s="4">
        <f t="shared" si="1"/>
        <v>0.3198794771</v>
      </c>
      <c r="G256" s="4">
        <f t="shared" si="2"/>
        <v>0.8972815201</v>
      </c>
    </row>
    <row r="257" hidden="1">
      <c r="A257" s="3">
        <v>256.0</v>
      </c>
      <c r="B257" s="3" t="s">
        <v>555</v>
      </c>
      <c r="C257" s="3">
        <v>-7.69</v>
      </c>
      <c r="D257" s="3">
        <v>95.7</v>
      </c>
      <c r="E257" s="3">
        <v>103.4</v>
      </c>
      <c r="F257" s="4">
        <f t="shared" si="1"/>
        <v>0.3156432694</v>
      </c>
      <c r="G257" s="4">
        <f t="shared" si="2"/>
        <v>0.8990686238</v>
      </c>
    </row>
    <row r="258" hidden="1">
      <c r="A258" s="3">
        <v>257.0</v>
      </c>
      <c r="B258" s="3" t="s">
        <v>487</v>
      </c>
      <c r="C258" s="3">
        <v>-7.73</v>
      </c>
      <c r="D258" s="3">
        <v>100.5</v>
      </c>
      <c r="E258" s="3">
        <v>108.2</v>
      </c>
      <c r="F258" s="4">
        <f t="shared" si="1"/>
        <v>0.3233899172</v>
      </c>
      <c r="G258" s="4">
        <f t="shared" si="2"/>
        <v>0.8957891</v>
      </c>
    </row>
    <row r="259" hidden="1">
      <c r="A259" s="3">
        <v>258.0</v>
      </c>
      <c r="B259" s="3" t="s">
        <v>430</v>
      </c>
      <c r="C259" s="3">
        <v>-7.8</v>
      </c>
      <c r="D259" s="3">
        <v>97.4</v>
      </c>
      <c r="E259" s="3">
        <v>105.2</v>
      </c>
      <c r="F259" s="4">
        <f t="shared" si="1"/>
        <v>0.3163988794</v>
      </c>
      <c r="G259" s="4">
        <f t="shared" si="2"/>
        <v>0.8987509627</v>
      </c>
    </row>
    <row r="260" hidden="1">
      <c r="A260" s="3">
        <v>259.0</v>
      </c>
      <c r="B260" s="3" t="s">
        <v>482</v>
      </c>
      <c r="C260" s="3">
        <v>-7.94</v>
      </c>
      <c r="D260" s="3">
        <v>99.9</v>
      </c>
      <c r="E260" s="3">
        <v>107.8</v>
      </c>
      <c r="F260" s="4">
        <f t="shared" si="1"/>
        <v>0.3184118914</v>
      </c>
      <c r="G260" s="4">
        <f t="shared" si="2"/>
        <v>0.8979023502</v>
      </c>
    </row>
    <row r="261" hidden="1">
      <c r="A261" s="3">
        <v>260.0</v>
      </c>
      <c r="B261" s="3" t="s">
        <v>365</v>
      </c>
      <c r="C261" s="3">
        <v>-7.95</v>
      </c>
      <c r="D261" s="3">
        <v>101.2</v>
      </c>
      <c r="E261" s="3">
        <v>109.2</v>
      </c>
      <c r="F261" s="4">
        <f t="shared" si="1"/>
        <v>0.3184675967</v>
      </c>
      <c r="G261" s="4">
        <f t="shared" si="2"/>
        <v>0.8978788185</v>
      </c>
    </row>
    <row r="262" hidden="1">
      <c r="A262" s="3">
        <v>261.0</v>
      </c>
      <c r="B262" s="3" t="s">
        <v>299</v>
      </c>
      <c r="C262" s="3">
        <v>-8.0</v>
      </c>
      <c r="D262" s="3">
        <v>101.6</v>
      </c>
      <c r="E262" s="3">
        <v>109.6</v>
      </c>
      <c r="F262" s="4">
        <f t="shared" si="1"/>
        <v>0.3190940305</v>
      </c>
      <c r="G262" s="4">
        <f t="shared" si="2"/>
        <v>0.8976140122</v>
      </c>
    </row>
    <row r="263" hidden="1">
      <c r="A263" s="3">
        <v>262.0</v>
      </c>
      <c r="B263" s="3" t="s">
        <v>563</v>
      </c>
      <c r="C263" s="3">
        <v>-8.05</v>
      </c>
      <c r="D263" s="3">
        <v>102.2</v>
      </c>
      <c r="E263" s="3">
        <v>110.3</v>
      </c>
      <c r="F263" s="4">
        <f t="shared" si="1"/>
        <v>0.3180554773</v>
      </c>
      <c r="G263" s="4">
        <f t="shared" si="2"/>
        <v>0.8980528494</v>
      </c>
    </row>
    <row r="264" hidden="1">
      <c r="A264" s="3">
        <v>263.0</v>
      </c>
      <c r="B264" s="3" t="s">
        <v>423</v>
      </c>
      <c r="C264" s="3">
        <v>-8.06</v>
      </c>
      <c r="D264" s="3">
        <v>96.4</v>
      </c>
      <c r="E264" s="3">
        <v>104.5</v>
      </c>
      <c r="F264" s="4">
        <f t="shared" si="1"/>
        <v>0.3085709594</v>
      </c>
      <c r="G264" s="4">
        <f t="shared" si="2"/>
        <v>0.9020188747</v>
      </c>
    </row>
    <row r="265" hidden="1">
      <c r="A265" s="3">
        <v>264.0</v>
      </c>
      <c r="B265" s="3" t="s">
        <v>154</v>
      </c>
      <c r="C265" s="3">
        <v>-8.09</v>
      </c>
      <c r="D265" s="3">
        <v>102.3</v>
      </c>
      <c r="E265" s="3">
        <v>110.3</v>
      </c>
      <c r="F265" s="4">
        <f t="shared" si="1"/>
        <v>0.3201804759</v>
      </c>
      <c r="G265" s="4">
        <f t="shared" si="2"/>
        <v>0.8971539642</v>
      </c>
    </row>
    <row r="266" hidden="1">
      <c r="A266" s="3">
        <v>265.0</v>
      </c>
      <c r="B266" s="3" t="s">
        <v>559</v>
      </c>
      <c r="C266" s="3">
        <v>-8.09</v>
      </c>
      <c r="D266" s="3">
        <v>97.3</v>
      </c>
      <c r="E266" s="3">
        <v>105.4</v>
      </c>
      <c r="F266" s="4">
        <f t="shared" si="1"/>
        <v>0.310103287</v>
      </c>
      <c r="G266" s="4">
        <f t="shared" si="2"/>
        <v>0.9013831569</v>
      </c>
    </row>
    <row r="267" hidden="1">
      <c r="A267" s="3">
        <v>266.0</v>
      </c>
      <c r="B267" s="3" t="s">
        <v>566</v>
      </c>
      <c r="C267" s="3">
        <v>-8.17</v>
      </c>
      <c r="D267" s="3">
        <v>103.5</v>
      </c>
      <c r="E267" s="3">
        <v>111.7</v>
      </c>
      <c r="F267" s="4">
        <f t="shared" si="1"/>
        <v>0.3181143787</v>
      </c>
      <c r="G267" s="4">
        <f t="shared" si="2"/>
        <v>0.8980279851</v>
      </c>
    </row>
    <row r="268" hidden="1">
      <c r="A268" s="3">
        <v>267.0</v>
      </c>
      <c r="B268" s="3" t="s">
        <v>539</v>
      </c>
      <c r="C268" s="3">
        <v>-8.39</v>
      </c>
      <c r="D268" s="3">
        <v>101.4</v>
      </c>
      <c r="E268" s="3">
        <v>109.8</v>
      </c>
      <c r="F268" s="4">
        <f t="shared" si="1"/>
        <v>0.3109087201</v>
      </c>
      <c r="G268" s="4">
        <f t="shared" si="2"/>
        <v>0.9010482335</v>
      </c>
    </row>
    <row r="269" hidden="1">
      <c r="A269" s="3">
        <v>268.0</v>
      </c>
      <c r="B269" s="3" t="s">
        <v>569</v>
      </c>
      <c r="C269" s="3">
        <v>-8.4</v>
      </c>
      <c r="D269" s="3">
        <v>101.0</v>
      </c>
      <c r="E269" s="3">
        <v>109.4</v>
      </c>
      <c r="F269" s="4">
        <f t="shared" si="1"/>
        <v>0.3102600702</v>
      </c>
      <c r="G269" s="4">
        <f t="shared" si="2"/>
        <v>0.9013180036</v>
      </c>
    </row>
    <row r="270" hidden="1">
      <c r="A270" s="3">
        <v>269.0</v>
      </c>
      <c r="B270" s="3" t="s">
        <v>417</v>
      </c>
      <c r="C270" s="3">
        <v>-8.48</v>
      </c>
      <c r="D270" s="3">
        <v>95.5</v>
      </c>
      <c r="E270" s="3">
        <v>104.0</v>
      </c>
      <c r="F270" s="4">
        <f t="shared" si="1"/>
        <v>0.2988779851</v>
      </c>
      <c r="G270" s="4">
        <f t="shared" si="2"/>
        <v>0.9059960721</v>
      </c>
    </row>
    <row r="271" hidden="1">
      <c r="A271" s="3">
        <v>270.0</v>
      </c>
      <c r="B271" s="3" t="s">
        <v>492</v>
      </c>
      <c r="C271" s="3">
        <v>-8.5</v>
      </c>
      <c r="D271" s="3">
        <v>97.0</v>
      </c>
      <c r="E271" s="3">
        <v>105.5</v>
      </c>
      <c r="F271" s="4">
        <f t="shared" si="1"/>
        <v>0.3015348379</v>
      </c>
      <c r="G271" s="4">
        <f t="shared" si="2"/>
        <v>0.9049134376</v>
      </c>
    </row>
    <row r="272" hidden="1">
      <c r="A272" s="3">
        <v>271.0</v>
      </c>
      <c r="B272" s="3" t="s">
        <v>582</v>
      </c>
      <c r="C272" s="3">
        <v>-8.58</v>
      </c>
      <c r="D272" s="3">
        <v>96.4</v>
      </c>
      <c r="E272" s="3">
        <v>104.9</v>
      </c>
      <c r="F272" s="4">
        <f t="shared" si="1"/>
        <v>0.3004800109</v>
      </c>
      <c r="G272" s="4">
        <f t="shared" si="2"/>
        <v>0.9053439408</v>
      </c>
    </row>
    <row r="273" hidden="1">
      <c r="A273" s="3">
        <v>272.0</v>
      </c>
      <c r="B273" s="3" t="s">
        <v>393</v>
      </c>
      <c r="C273" s="3">
        <v>-8.63</v>
      </c>
      <c r="D273" s="3">
        <v>97.2</v>
      </c>
      <c r="E273" s="3">
        <v>105.8</v>
      </c>
      <c r="F273" s="4">
        <f t="shared" si="1"/>
        <v>0.2998949645</v>
      </c>
      <c r="G273" s="4">
        <f t="shared" si="2"/>
        <v>0.9055823307</v>
      </c>
    </row>
    <row r="274" hidden="1">
      <c r="A274" s="3">
        <v>273.0</v>
      </c>
      <c r="B274" s="3" t="s">
        <v>573</v>
      </c>
      <c r="C274" s="3">
        <v>-8.63</v>
      </c>
      <c r="D274" s="3">
        <v>98.0</v>
      </c>
      <c r="E274" s="3">
        <v>106.6</v>
      </c>
      <c r="F274" s="4">
        <f t="shared" si="1"/>
        <v>0.3012904613</v>
      </c>
      <c r="G274" s="4">
        <f t="shared" si="2"/>
        <v>0.9050132535</v>
      </c>
    </row>
    <row r="275" hidden="1">
      <c r="A275" s="3">
        <v>274.0</v>
      </c>
      <c r="B275" s="3" t="s">
        <v>457</v>
      </c>
      <c r="C275" s="3">
        <v>-8.72</v>
      </c>
      <c r="D275" s="3">
        <v>102.8</v>
      </c>
      <c r="E275" s="3">
        <v>111.5</v>
      </c>
      <c r="F275" s="4">
        <f t="shared" si="1"/>
        <v>0.3073809287</v>
      </c>
      <c r="G275" s="4">
        <f t="shared" si="2"/>
        <v>0.9025112585</v>
      </c>
    </row>
    <row r="276" hidden="1">
      <c r="A276" s="3">
        <v>275.0</v>
      </c>
      <c r="B276" s="3" t="s">
        <v>550</v>
      </c>
      <c r="C276" s="3">
        <v>-8.8</v>
      </c>
      <c r="D276" s="3">
        <v>97.3</v>
      </c>
      <c r="E276" s="3">
        <v>106.1</v>
      </c>
      <c r="F276" s="4">
        <f t="shared" si="1"/>
        <v>0.2961226148</v>
      </c>
      <c r="G276" s="4">
        <f t="shared" si="2"/>
        <v>0.907112926</v>
      </c>
    </row>
    <row r="277" hidden="1">
      <c r="A277" s="3">
        <v>276.0</v>
      </c>
      <c r="B277" s="3" t="s">
        <v>575</v>
      </c>
      <c r="C277" s="3">
        <v>-9.11</v>
      </c>
      <c r="D277" s="3">
        <v>97.5</v>
      </c>
      <c r="E277" s="3">
        <v>106.6</v>
      </c>
      <c r="F277" s="4">
        <f t="shared" si="1"/>
        <v>0.290633079</v>
      </c>
      <c r="G277" s="4">
        <f t="shared" si="2"/>
        <v>0.9093202459</v>
      </c>
    </row>
    <row r="278" hidden="1">
      <c r="A278" s="3">
        <v>277.0</v>
      </c>
      <c r="B278" s="3" t="s">
        <v>577</v>
      </c>
      <c r="C278" s="3">
        <v>-9.2</v>
      </c>
      <c r="D278" s="3">
        <v>93.3</v>
      </c>
      <c r="E278" s="3">
        <v>102.5</v>
      </c>
      <c r="F278" s="4">
        <f t="shared" si="1"/>
        <v>0.2808141174</v>
      </c>
      <c r="G278" s="4">
        <f t="shared" si="2"/>
        <v>0.9132103437</v>
      </c>
    </row>
    <row r="279" hidden="1">
      <c r="A279" s="3">
        <v>278.0</v>
      </c>
      <c r="B279" s="3" t="s">
        <v>597</v>
      </c>
      <c r="C279" s="3">
        <v>-9.26</v>
      </c>
      <c r="D279" s="3">
        <v>95.6</v>
      </c>
      <c r="E279" s="3">
        <v>104.9</v>
      </c>
      <c r="F279" s="4">
        <f t="shared" si="1"/>
        <v>0.2832602021</v>
      </c>
      <c r="G279" s="4">
        <f t="shared" si="2"/>
        <v>0.912248129</v>
      </c>
    </row>
    <row r="280" hidden="1">
      <c r="A280" s="3">
        <v>279.0</v>
      </c>
      <c r="B280" s="3" t="s">
        <v>378</v>
      </c>
      <c r="C280" s="3">
        <v>-9.7</v>
      </c>
      <c r="D280" s="3">
        <v>97.4</v>
      </c>
      <c r="E280" s="3">
        <v>107.1</v>
      </c>
      <c r="F280" s="4">
        <f t="shared" si="1"/>
        <v>0.2790120068</v>
      </c>
      <c r="G280" s="4">
        <f t="shared" si="2"/>
        <v>0.9139163505</v>
      </c>
    </row>
    <row r="281" hidden="1">
      <c r="A281" s="3">
        <v>280.0</v>
      </c>
      <c r="B281" s="3" t="s">
        <v>128</v>
      </c>
      <c r="C281" s="3">
        <v>-9.85</v>
      </c>
      <c r="D281" s="3">
        <v>98.8</v>
      </c>
      <c r="E281" s="3">
        <v>108.7</v>
      </c>
      <c r="F281" s="4">
        <f t="shared" si="1"/>
        <v>0.2778920541</v>
      </c>
      <c r="G281" s="4">
        <f t="shared" si="2"/>
        <v>0.9143538823</v>
      </c>
    </row>
    <row r="282" hidden="1">
      <c r="A282" s="3">
        <v>281.0</v>
      </c>
      <c r="B282" s="3" t="s">
        <v>567</v>
      </c>
      <c r="C282" s="3">
        <v>-9.94</v>
      </c>
      <c r="D282" s="3">
        <v>97.1</v>
      </c>
      <c r="E282" s="3">
        <v>107.0</v>
      </c>
      <c r="F282" s="4">
        <f t="shared" si="1"/>
        <v>0.2747062119</v>
      </c>
      <c r="G282" s="4">
        <f t="shared" si="2"/>
        <v>0.9155933765</v>
      </c>
    </row>
    <row r="283" hidden="1">
      <c r="A283" s="3">
        <v>282.0</v>
      </c>
      <c r="B283" s="3" t="s">
        <v>594</v>
      </c>
      <c r="C283" s="3">
        <v>-10.05</v>
      </c>
      <c r="D283" s="3">
        <v>101.1</v>
      </c>
      <c r="E283" s="3">
        <v>111.2</v>
      </c>
      <c r="F283" s="4">
        <f t="shared" si="1"/>
        <v>0.2784420856</v>
      </c>
      <c r="G283" s="4">
        <f t="shared" si="2"/>
        <v>0.9141391189</v>
      </c>
    </row>
    <row r="284" hidden="1">
      <c r="A284" s="3">
        <v>283.0</v>
      </c>
      <c r="B284" s="3" t="s">
        <v>380</v>
      </c>
      <c r="C284" s="3">
        <v>-10.2</v>
      </c>
      <c r="D284" s="3">
        <v>95.3</v>
      </c>
      <c r="E284" s="3">
        <v>105.5</v>
      </c>
      <c r="F284" s="4">
        <f t="shared" si="1"/>
        <v>0.2656489619</v>
      </c>
      <c r="G284" s="4">
        <f t="shared" si="2"/>
        <v>0.919076367</v>
      </c>
    </row>
    <row r="285" hidden="1">
      <c r="A285" s="3">
        <v>284.0</v>
      </c>
      <c r="B285" s="3" t="s">
        <v>570</v>
      </c>
      <c r="C285" s="3">
        <v>-10.22</v>
      </c>
      <c r="D285" s="3">
        <v>102.8</v>
      </c>
      <c r="E285" s="3">
        <v>113.0</v>
      </c>
      <c r="F285" s="4">
        <f t="shared" si="1"/>
        <v>0.2796849979</v>
      </c>
      <c r="G285" s="4">
        <f t="shared" si="2"/>
        <v>0.9136529807</v>
      </c>
    </row>
    <row r="286" hidden="1">
      <c r="A286" s="3">
        <v>285.0</v>
      </c>
      <c r="B286" s="3" t="s">
        <v>406</v>
      </c>
      <c r="C286" s="3">
        <v>-10.34</v>
      </c>
      <c r="D286" s="3">
        <v>96.7</v>
      </c>
      <c r="E286" s="3">
        <v>107.0</v>
      </c>
      <c r="F286" s="4">
        <f t="shared" si="1"/>
        <v>0.2665584586</v>
      </c>
      <c r="G286" s="4">
        <f t="shared" si="2"/>
        <v>0.9187293183</v>
      </c>
    </row>
    <row r="287" hidden="1">
      <c r="A287" s="3">
        <v>286.0</v>
      </c>
      <c r="B287" s="3" t="s">
        <v>588</v>
      </c>
      <c r="C287" s="3">
        <v>-10.47</v>
      </c>
      <c r="D287" s="3">
        <v>92.2</v>
      </c>
      <c r="E287" s="3">
        <v>102.7</v>
      </c>
      <c r="F287" s="4">
        <f t="shared" si="1"/>
        <v>0.2537862209</v>
      </c>
      <c r="G287" s="4">
        <f t="shared" si="2"/>
        <v>0.9235488521</v>
      </c>
    </row>
    <row r="288" hidden="1">
      <c r="A288" s="3">
        <v>287.0</v>
      </c>
      <c r="B288" s="3" t="s">
        <v>576</v>
      </c>
      <c r="C288" s="3">
        <v>-10.52</v>
      </c>
      <c r="D288" s="3">
        <v>99.4</v>
      </c>
      <c r="E288" s="3">
        <v>109.9</v>
      </c>
      <c r="F288" s="4">
        <f t="shared" si="1"/>
        <v>0.2681189104</v>
      </c>
      <c r="G288" s="4">
        <f t="shared" si="2"/>
        <v>0.9181324801</v>
      </c>
    </row>
    <row r="289" hidden="1">
      <c r="A289" s="3">
        <v>288.0</v>
      </c>
      <c r="B289" s="3" t="s">
        <v>527</v>
      </c>
      <c r="C289" s="3">
        <v>-10.62</v>
      </c>
      <c r="D289" s="3">
        <v>98.9</v>
      </c>
      <c r="E289" s="3">
        <v>109.5</v>
      </c>
      <c r="F289" s="4">
        <f t="shared" si="1"/>
        <v>0.2653873091</v>
      </c>
      <c r="G289" s="4">
        <f t="shared" si="2"/>
        <v>0.9191760986</v>
      </c>
    </row>
    <row r="290" hidden="1">
      <c r="A290" s="3">
        <v>289.0</v>
      </c>
      <c r="B290" s="3" t="s">
        <v>496</v>
      </c>
      <c r="C290" s="3">
        <v>-10.76</v>
      </c>
      <c r="D290" s="3">
        <v>96.8</v>
      </c>
      <c r="E290" s="3">
        <v>107.6</v>
      </c>
      <c r="F290" s="4">
        <f t="shared" si="1"/>
        <v>0.2577422435</v>
      </c>
      <c r="G290" s="4">
        <f t="shared" si="2"/>
        <v>0.9220684382</v>
      </c>
    </row>
    <row r="291" hidden="1">
      <c r="A291" s="3">
        <v>290.0</v>
      </c>
      <c r="B291" s="3" t="s">
        <v>435</v>
      </c>
      <c r="C291" s="3">
        <v>-10.76</v>
      </c>
      <c r="D291" s="3">
        <v>94.9</v>
      </c>
      <c r="E291" s="3">
        <v>105.6</v>
      </c>
      <c r="F291" s="4">
        <f t="shared" si="1"/>
        <v>0.2557176315</v>
      </c>
      <c r="G291" s="4">
        <f t="shared" si="2"/>
        <v>0.9228274567</v>
      </c>
    </row>
    <row r="292" hidden="1">
      <c r="A292" s="3">
        <v>291.0</v>
      </c>
      <c r="B292" s="3" t="s">
        <v>398</v>
      </c>
      <c r="C292" s="3">
        <v>-10.83</v>
      </c>
      <c r="D292" s="3">
        <v>94.8</v>
      </c>
      <c r="E292" s="3">
        <v>105.6</v>
      </c>
      <c r="F292" s="4">
        <f t="shared" si="1"/>
        <v>0.2537162033</v>
      </c>
      <c r="G292" s="4">
        <f t="shared" si="2"/>
        <v>0.9235749552</v>
      </c>
    </row>
    <row r="293" hidden="1">
      <c r="A293" s="3">
        <v>292.0</v>
      </c>
      <c r="B293" s="3" t="s">
        <v>580</v>
      </c>
      <c r="C293" s="3">
        <v>-10.97</v>
      </c>
      <c r="D293" s="3">
        <v>94.4</v>
      </c>
      <c r="E293" s="3">
        <v>105.4</v>
      </c>
      <c r="F293" s="4">
        <f t="shared" si="1"/>
        <v>0.2493249824</v>
      </c>
      <c r="G293" s="4">
        <f t="shared" si="2"/>
        <v>0.9252052228</v>
      </c>
    </row>
    <row r="294" hidden="1">
      <c r="A294" s="3">
        <v>293.0</v>
      </c>
      <c r="B294" s="3" t="s">
        <v>508</v>
      </c>
      <c r="C294" s="3">
        <v>-10.97</v>
      </c>
      <c r="D294" s="3">
        <v>95.0</v>
      </c>
      <c r="E294" s="3">
        <v>106.0</v>
      </c>
      <c r="F294" s="4">
        <f t="shared" si="1"/>
        <v>0.2505610935</v>
      </c>
      <c r="G294" s="4">
        <f t="shared" si="2"/>
        <v>0.9247476607</v>
      </c>
    </row>
    <row r="295" hidden="1">
      <c r="A295" s="3">
        <v>294.0</v>
      </c>
      <c r="B295" s="3" t="s">
        <v>420</v>
      </c>
      <c r="C295" s="3">
        <v>-11.08</v>
      </c>
      <c r="D295" s="3">
        <v>99.8</v>
      </c>
      <c r="E295" s="3">
        <v>110.9</v>
      </c>
      <c r="F295" s="4">
        <f t="shared" si="1"/>
        <v>0.258341391</v>
      </c>
      <c r="G295" s="4">
        <f t="shared" si="2"/>
        <v>0.9218432661</v>
      </c>
    </row>
    <row r="296" hidden="1">
      <c r="A296" s="3">
        <v>295.0</v>
      </c>
      <c r="B296" s="3" t="s">
        <v>494</v>
      </c>
      <c r="C296" s="3">
        <v>-11.12</v>
      </c>
      <c r="D296" s="3">
        <v>96.5</v>
      </c>
      <c r="E296" s="3">
        <v>107.6</v>
      </c>
      <c r="F296" s="4">
        <f t="shared" si="1"/>
        <v>0.2518487614</v>
      </c>
      <c r="G296" s="4">
        <f t="shared" si="2"/>
        <v>0.9242698899</v>
      </c>
    </row>
    <row r="297" hidden="1">
      <c r="A297" s="3">
        <v>296.0</v>
      </c>
      <c r="B297" s="3" t="s">
        <v>284</v>
      </c>
      <c r="C297" s="3">
        <v>-11.29</v>
      </c>
      <c r="D297" s="3">
        <v>99.0</v>
      </c>
      <c r="E297" s="3">
        <v>110.3</v>
      </c>
      <c r="F297" s="4">
        <f t="shared" si="1"/>
        <v>0.2533469434</v>
      </c>
      <c r="G297" s="4">
        <f t="shared" si="2"/>
        <v>0.9237125613</v>
      </c>
    </row>
    <row r="298" hidden="1">
      <c r="A298" s="3">
        <v>297.0</v>
      </c>
      <c r="B298" s="3" t="s">
        <v>458</v>
      </c>
      <c r="C298" s="3">
        <v>-11.34</v>
      </c>
      <c r="D298" s="3">
        <v>92.8</v>
      </c>
      <c r="E298" s="3">
        <v>104.1</v>
      </c>
      <c r="F298" s="4">
        <f t="shared" si="1"/>
        <v>0.2406620335</v>
      </c>
      <c r="G298" s="4">
        <f t="shared" si="2"/>
        <v>0.9283825583</v>
      </c>
    </row>
    <row r="299" hidden="1">
      <c r="A299" s="3">
        <v>298.0</v>
      </c>
      <c r="B299" s="3" t="s">
        <v>598</v>
      </c>
      <c r="C299" s="3">
        <v>-11.47</v>
      </c>
      <c r="D299" s="3">
        <v>94.0</v>
      </c>
      <c r="E299" s="3">
        <v>105.5</v>
      </c>
      <c r="F299" s="4">
        <f t="shared" si="1"/>
        <v>0.2397297515</v>
      </c>
      <c r="G299" s="4">
        <f t="shared" si="2"/>
        <v>0.9287214618</v>
      </c>
    </row>
    <row r="300" hidden="1">
      <c r="A300" s="3">
        <v>299.0</v>
      </c>
      <c r="B300" s="3" t="s">
        <v>366</v>
      </c>
      <c r="C300" s="3">
        <v>-11.55</v>
      </c>
      <c r="D300" s="3">
        <v>94.2</v>
      </c>
      <c r="E300" s="3">
        <v>105.7</v>
      </c>
      <c r="F300" s="4">
        <f t="shared" si="1"/>
        <v>0.2401518621</v>
      </c>
      <c r="G300" s="4">
        <f t="shared" si="2"/>
        <v>0.9285680884</v>
      </c>
    </row>
    <row r="301" hidden="1">
      <c r="A301" s="3">
        <v>300.0</v>
      </c>
      <c r="B301" s="3" t="s">
        <v>585</v>
      </c>
      <c r="C301" s="3">
        <v>-11.71</v>
      </c>
      <c r="D301" s="3">
        <v>92.0</v>
      </c>
      <c r="E301" s="3">
        <v>103.7</v>
      </c>
      <c r="F301" s="4">
        <f t="shared" si="1"/>
        <v>0.2319852081</v>
      </c>
      <c r="G301" s="4">
        <f t="shared" si="2"/>
        <v>0.9315143441</v>
      </c>
    </row>
    <row r="302" hidden="1">
      <c r="A302" s="3">
        <v>301.0</v>
      </c>
      <c r="B302" s="3" t="s">
        <v>558</v>
      </c>
      <c r="C302" s="3">
        <v>-11.8</v>
      </c>
      <c r="D302" s="3">
        <v>99.9</v>
      </c>
      <c r="E302" s="3">
        <v>111.7</v>
      </c>
      <c r="F302" s="4">
        <f t="shared" si="1"/>
        <v>0.2466666113</v>
      </c>
      <c r="G302" s="4">
        <f t="shared" si="2"/>
        <v>0.9261856874</v>
      </c>
    </row>
    <row r="303" hidden="1">
      <c r="A303" s="3">
        <v>302.0</v>
      </c>
      <c r="B303" s="3" t="s">
        <v>416</v>
      </c>
      <c r="C303" s="3">
        <v>-12.07</v>
      </c>
      <c r="D303" s="3">
        <v>98.1</v>
      </c>
      <c r="E303" s="3">
        <v>110.2</v>
      </c>
      <c r="F303" s="4">
        <f t="shared" si="1"/>
        <v>0.2381053078</v>
      </c>
      <c r="G303" s="4">
        <f t="shared" si="2"/>
        <v>0.9293105868</v>
      </c>
    </row>
    <row r="304" hidden="1">
      <c r="A304" s="3">
        <v>303.0</v>
      </c>
      <c r="B304" s="3" t="s">
        <v>542</v>
      </c>
      <c r="C304" s="3">
        <v>-12.31</v>
      </c>
      <c r="D304" s="3">
        <v>93.7</v>
      </c>
      <c r="E304" s="3">
        <v>106.0</v>
      </c>
      <c r="F304" s="4">
        <f t="shared" si="1"/>
        <v>0.2255853195</v>
      </c>
      <c r="G304" s="4">
        <f t="shared" si="2"/>
        <v>0.9337925268</v>
      </c>
    </row>
    <row r="305" hidden="1">
      <c r="A305" s="3">
        <v>304.0</v>
      </c>
      <c r="B305" s="3" t="s">
        <v>126</v>
      </c>
      <c r="C305" s="3">
        <v>-12.44</v>
      </c>
      <c r="D305" s="3">
        <v>96.6</v>
      </c>
      <c r="E305" s="3">
        <v>109.0</v>
      </c>
      <c r="F305" s="4">
        <f t="shared" si="1"/>
        <v>0.2301097842</v>
      </c>
      <c r="G305" s="4">
        <f t="shared" si="2"/>
        <v>0.93218471</v>
      </c>
    </row>
    <row r="306" hidden="1">
      <c r="A306" s="3">
        <v>305.0</v>
      </c>
      <c r="B306" s="3" t="s">
        <v>311</v>
      </c>
      <c r="C306" s="3">
        <v>-12.51</v>
      </c>
      <c r="D306" s="3">
        <v>106.6</v>
      </c>
      <c r="E306" s="3">
        <v>119.1</v>
      </c>
      <c r="F306" s="4">
        <f t="shared" si="1"/>
        <v>0.2480947393</v>
      </c>
      <c r="G306" s="4">
        <f t="shared" si="2"/>
        <v>0.9256595665</v>
      </c>
    </row>
    <row r="307" hidden="1">
      <c r="A307" s="3">
        <v>306.0</v>
      </c>
      <c r="B307" s="3" t="s">
        <v>587</v>
      </c>
      <c r="C307" s="3">
        <v>-12.56</v>
      </c>
      <c r="D307" s="3">
        <v>93.3</v>
      </c>
      <c r="E307" s="3">
        <v>105.8</v>
      </c>
      <c r="F307" s="4">
        <f t="shared" si="1"/>
        <v>0.2214383228</v>
      </c>
      <c r="G307" s="4">
        <f t="shared" si="2"/>
        <v>0.9352545919</v>
      </c>
    </row>
    <row r="308" hidden="1">
      <c r="A308" s="3">
        <v>307.0</v>
      </c>
      <c r="B308" s="3" t="s">
        <v>568</v>
      </c>
      <c r="C308" s="3">
        <v>-12.64</v>
      </c>
      <c r="D308" s="3">
        <v>96.0</v>
      </c>
      <c r="E308" s="3">
        <v>108.7</v>
      </c>
      <c r="F308" s="4">
        <f t="shared" si="1"/>
        <v>0.2240122447</v>
      </c>
      <c r="G308" s="4">
        <f t="shared" si="2"/>
        <v>0.9343484305</v>
      </c>
    </row>
    <row r="309" hidden="1">
      <c r="A309" s="3">
        <v>308.0</v>
      </c>
      <c r="B309" s="3" t="s">
        <v>489</v>
      </c>
      <c r="C309" s="3">
        <v>-12.72</v>
      </c>
      <c r="D309" s="3">
        <v>93.0</v>
      </c>
      <c r="E309" s="3">
        <v>105.8</v>
      </c>
      <c r="F309" s="4">
        <f t="shared" si="1"/>
        <v>0.2159357155</v>
      </c>
      <c r="G309" s="4">
        <f t="shared" si="2"/>
        <v>0.9371776613</v>
      </c>
    </row>
    <row r="310" hidden="1">
      <c r="A310" s="3">
        <v>309.0</v>
      </c>
      <c r="B310" s="3" t="s">
        <v>488</v>
      </c>
      <c r="C310" s="3">
        <v>-12.73</v>
      </c>
      <c r="D310" s="3">
        <v>94.9</v>
      </c>
      <c r="E310" s="3">
        <v>107.6</v>
      </c>
      <c r="F310" s="4">
        <f t="shared" si="1"/>
        <v>0.2216685142</v>
      </c>
      <c r="G310" s="4">
        <f t="shared" si="2"/>
        <v>0.9351737246</v>
      </c>
    </row>
    <row r="311" hidden="1">
      <c r="A311" s="3">
        <v>310.0</v>
      </c>
      <c r="B311" s="3" t="s">
        <v>146</v>
      </c>
      <c r="C311" s="3">
        <v>-12.97</v>
      </c>
      <c r="D311" s="3">
        <v>97.7</v>
      </c>
      <c r="E311" s="3">
        <v>110.7</v>
      </c>
      <c r="F311" s="4">
        <f t="shared" si="1"/>
        <v>0.2228347037</v>
      </c>
      <c r="G311" s="4">
        <f t="shared" si="2"/>
        <v>0.9347635162</v>
      </c>
    </row>
    <row r="312" hidden="1">
      <c r="A312" s="3">
        <v>311.0</v>
      </c>
      <c r="B312" s="3" t="s">
        <v>151</v>
      </c>
      <c r="C312" s="3">
        <v>-13.19</v>
      </c>
      <c r="D312" s="3">
        <v>97.1</v>
      </c>
      <c r="E312" s="3">
        <v>110.3</v>
      </c>
      <c r="F312" s="4">
        <f t="shared" si="1"/>
        <v>0.2184664694</v>
      </c>
      <c r="G312" s="4">
        <f t="shared" si="2"/>
        <v>0.9362955875</v>
      </c>
    </row>
    <row r="313" hidden="1">
      <c r="A313" s="3">
        <v>312.0</v>
      </c>
      <c r="B313" s="3" t="s">
        <v>407</v>
      </c>
      <c r="C313" s="3">
        <v>-13.2</v>
      </c>
      <c r="D313" s="3">
        <v>94.3</v>
      </c>
      <c r="E313" s="3">
        <v>107.5</v>
      </c>
      <c r="F313" s="4">
        <f t="shared" si="1"/>
        <v>0.2124706834</v>
      </c>
      <c r="G313" s="4">
        <f t="shared" si="2"/>
        <v>0.9383788421</v>
      </c>
    </row>
    <row r="314" hidden="1">
      <c r="A314" s="3">
        <v>313.0</v>
      </c>
      <c r="B314" s="3" t="s">
        <v>560</v>
      </c>
      <c r="C314" s="3">
        <v>-13.21</v>
      </c>
      <c r="D314" s="3">
        <v>89.7</v>
      </c>
      <c r="E314" s="3">
        <v>102.9</v>
      </c>
      <c r="F314" s="4">
        <f t="shared" si="1"/>
        <v>0.2021567541</v>
      </c>
      <c r="G314" s="4">
        <f t="shared" si="2"/>
        <v>0.9419102422</v>
      </c>
    </row>
    <row r="315" hidden="1">
      <c r="A315" s="3">
        <v>314.0</v>
      </c>
      <c r="B315" s="3" t="s">
        <v>474</v>
      </c>
      <c r="C315" s="3">
        <v>-13.5</v>
      </c>
      <c r="D315" s="3">
        <v>87.3</v>
      </c>
      <c r="E315" s="3">
        <v>100.8</v>
      </c>
      <c r="F315" s="4">
        <f t="shared" si="1"/>
        <v>0.1918740236</v>
      </c>
      <c r="G315" s="4">
        <f t="shared" si="2"/>
        <v>0.9453667778</v>
      </c>
    </row>
    <row r="316" hidden="1">
      <c r="A316" s="3">
        <v>315.0</v>
      </c>
      <c r="B316" s="3" t="s">
        <v>405</v>
      </c>
      <c r="C316" s="3">
        <v>-13.57</v>
      </c>
      <c r="D316" s="3">
        <v>90.2</v>
      </c>
      <c r="E316" s="3">
        <v>103.8</v>
      </c>
      <c r="F316" s="4">
        <f t="shared" si="1"/>
        <v>0.1971242963</v>
      </c>
      <c r="G316" s="4">
        <f t="shared" si="2"/>
        <v>0.9436097986</v>
      </c>
    </row>
    <row r="317" hidden="1">
      <c r="A317" s="3">
        <v>316.0</v>
      </c>
      <c r="B317" s="3" t="s">
        <v>476</v>
      </c>
      <c r="C317" s="3">
        <v>-13.6</v>
      </c>
      <c r="D317" s="3">
        <v>93.7</v>
      </c>
      <c r="E317" s="3">
        <v>107.4</v>
      </c>
      <c r="F317" s="4">
        <f t="shared" si="1"/>
        <v>0.2034904688</v>
      </c>
      <c r="G317" s="4">
        <f t="shared" si="2"/>
        <v>0.9414572572</v>
      </c>
    </row>
    <row r="318" hidden="1">
      <c r="A318" s="3">
        <v>317.0</v>
      </c>
      <c r="B318" s="3" t="s">
        <v>554</v>
      </c>
      <c r="C318" s="3">
        <v>-13.72</v>
      </c>
      <c r="D318" s="3">
        <v>95.1</v>
      </c>
      <c r="E318" s="3">
        <v>108.8</v>
      </c>
      <c r="F318" s="4">
        <f t="shared" si="1"/>
        <v>0.2065539929</v>
      </c>
      <c r="G318" s="4">
        <f t="shared" si="2"/>
        <v>0.9404126539</v>
      </c>
    </row>
    <row r="319" hidden="1">
      <c r="A319" s="3">
        <v>318.0</v>
      </c>
      <c r="B319" s="3" t="s">
        <v>429</v>
      </c>
      <c r="C319" s="3">
        <v>-13.77</v>
      </c>
      <c r="D319" s="3">
        <v>96.2</v>
      </c>
      <c r="E319" s="3">
        <v>110.0</v>
      </c>
      <c r="F319" s="4">
        <f t="shared" si="1"/>
        <v>0.2074261884</v>
      </c>
      <c r="G319" s="4">
        <f t="shared" si="2"/>
        <v>0.9401142014</v>
      </c>
    </row>
    <row r="320" hidden="1">
      <c r="A320" s="3">
        <v>319.0</v>
      </c>
      <c r="B320" s="3" t="s">
        <v>490</v>
      </c>
      <c r="C320" s="3">
        <v>-14.14</v>
      </c>
      <c r="D320" s="3">
        <v>98.7</v>
      </c>
      <c r="E320" s="3">
        <v>112.9</v>
      </c>
      <c r="F320" s="4">
        <f t="shared" si="1"/>
        <v>0.2068242792</v>
      </c>
      <c r="G320" s="4">
        <f t="shared" si="2"/>
        <v>0.9403202159</v>
      </c>
    </row>
    <row r="321" hidden="1">
      <c r="A321" s="3">
        <v>320.0</v>
      </c>
      <c r="B321" s="3" t="s">
        <v>444</v>
      </c>
      <c r="C321" s="3">
        <v>-14.17</v>
      </c>
      <c r="D321" s="3">
        <v>101.3</v>
      </c>
      <c r="E321" s="3">
        <v>115.5</v>
      </c>
      <c r="F321" s="4">
        <f t="shared" si="1"/>
        <v>0.21217891</v>
      </c>
      <c r="G321" s="4">
        <f t="shared" si="2"/>
        <v>0.9384796451</v>
      </c>
    </row>
    <row r="322" hidden="1">
      <c r="A322" s="3">
        <v>321.0</v>
      </c>
      <c r="B322" s="3" t="s">
        <v>362</v>
      </c>
      <c r="C322" s="3">
        <v>-14.19</v>
      </c>
      <c r="D322" s="3">
        <v>92.6</v>
      </c>
      <c r="E322" s="3">
        <v>106.8</v>
      </c>
      <c r="F322" s="4">
        <f t="shared" si="1"/>
        <v>0.1936152804</v>
      </c>
      <c r="G322" s="4">
        <f t="shared" si="2"/>
        <v>0.9447858869</v>
      </c>
    </row>
    <row r="323" hidden="1">
      <c r="A323" s="3">
        <v>322.0</v>
      </c>
      <c r="B323" s="3" t="s">
        <v>590</v>
      </c>
      <c r="C323" s="3">
        <v>-14.21</v>
      </c>
      <c r="D323" s="3">
        <v>94.7</v>
      </c>
      <c r="E323" s="3">
        <v>108.9</v>
      </c>
      <c r="F323" s="4">
        <f t="shared" si="1"/>
        <v>0.1982671161</v>
      </c>
      <c r="G323" s="4">
        <f t="shared" si="2"/>
        <v>0.943225183</v>
      </c>
    </row>
    <row r="324" hidden="1">
      <c r="A324" s="3">
        <v>323.0</v>
      </c>
      <c r="B324" s="3" t="s">
        <v>468</v>
      </c>
      <c r="C324" s="3">
        <v>-14.41</v>
      </c>
      <c r="D324" s="3">
        <v>97.1</v>
      </c>
      <c r="E324" s="3">
        <v>111.5</v>
      </c>
      <c r="F324" s="4">
        <f t="shared" si="1"/>
        <v>0.2005545282</v>
      </c>
      <c r="G324" s="4">
        <f t="shared" si="2"/>
        <v>0.9424529998</v>
      </c>
    </row>
    <row r="325" hidden="1">
      <c r="A325" s="3">
        <v>324.0</v>
      </c>
      <c r="B325" s="3" t="s">
        <v>471</v>
      </c>
      <c r="C325" s="3">
        <v>-14.6</v>
      </c>
      <c r="D325" s="3">
        <v>99.2</v>
      </c>
      <c r="E325" s="3">
        <v>113.8</v>
      </c>
      <c r="F325" s="4">
        <f t="shared" si="1"/>
        <v>0.2021283144</v>
      </c>
      <c r="G325" s="4">
        <f t="shared" si="2"/>
        <v>0.9419198898</v>
      </c>
    </row>
    <row r="326" hidden="1">
      <c r="A326" s="3">
        <v>325.0</v>
      </c>
      <c r="B326" s="3" t="s">
        <v>584</v>
      </c>
      <c r="C326" s="3">
        <v>-14.61</v>
      </c>
      <c r="D326" s="3">
        <v>95.1</v>
      </c>
      <c r="E326" s="3">
        <v>109.7</v>
      </c>
      <c r="F326" s="4">
        <f t="shared" si="1"/>
        <v>0.1933786796</v>
      </c>
      <c r="G326" s="4">
        <f t="shared" si="2"/>
        <v>0.9448649232</v>
      </c>
    </row>
    <row r="327" hidden="1">
      <c r="A327" s="3">
        <v>326.0</v>
      </c>
      <c r="B327" s="3" t="s">
        <v>491</v>
      </c>
      <c r="C327" s="3">
        <v>-15.02</v>
      </c>
      <c r="D327" s="3">
        <v>90.6</v>
      </c>
      <c r="E327" s="3">
        <v>105.6</v>
      </c>
      <c r="F327" s="4">
        <f t="shared" si="1"/>
        <v>0.1776951743</v>
      </c>
      <c r="G327" s="4">
        <f t="shared" si="2"/>
        <v>0.9500310791</v>
      </c>
    </row>
    <row r="328" hidden="1">
      <c r="A328" s="3">
        <v>327.0</v>
      </c>
      <c r="B328" s="3" t="s">
        <v>164</v>
      </c>
      <c r="C328" s="3">
        <v>-15.16</v>
      </c>
      <c r="D328" s="3">
        <v>98.4</v>
      </c>
      <c r="E328" s="3">
        <v>113.6</v>
      </c>
      <c r="F328" s="4">
        <f t="shared" si="1"/>
        <v>0.1920992545</v>
      </c>
      <c r="G328" s="4">
        <f t="shared" si="2"/>
        <v>0.9452917407</v>
      </c>
    </row>
    <row r="329" hidden="1">
      <c r="A329" s="3">
        <v>328.0</v>
      </c>
      <c r="B329" s="3" t="s">
        <v>348</v>
      </c>
      <c r="C329" s="3">
        <v>-15.18</v>
      </c>
      <c r="D329" s="3">
        <v>96.9</v>
      </c>
      <c r="E329" s="3">
        <v>112.1</v>
      </c>
      <c r="F329" s="4">
        <f t="shared" si="1"/>
        <v>0.1889084983</v>
      </c>
      <c r="G329" s="4">
        <f t="shared" si="2"/>
        <v>0.9463519794</v>
      </c>
    </row>
    <row r="330" hidden="1">
      <c r="A330" s="3">
        <v>329.0</v>
      </c>
      <c r="B330" s="3" t="s">
        <v>456</v>
      </c>
      <c r="C330" s="3">
        <v>-15.21</v>
      </c>
      <c r="D330" s="3">
        <v>96.9</v>
      </c>
      <c r="E330" s="3">
        <v>112.1</v>
      </c>
      <c r="F330" s="4">
        <f t="shared" si="1"/>
        <v>0.1889084983</v>
      </c>
      <c r="G330" s="4">
        <f t="shared" si="2"/>
        <v>0.9463519794</v>
      </c>
    </row>
    <row r="331" hidden="1">
      <c r="A331" s="3">
        <v>330.0</v>
      </c>
      <c r="B331" s="3" t="s">
        <v>552</v>
      </c>
      <c r="C331" s="3">
        <v>-15.42</v>
      </c>
      <c r="D331" s="3">
        <v>98.4</v>
      </c>
      <c r="E331" s="3">
        <v>113.8</v>
      </c>
      <c r="F331" s="4">
        <f t="shared" si="1"/>
        <v>0.1893840885</v>
      </c>
      <c r="G331" s="4">
        <f t="shared" si="2"/>
        <v>0.9461943271</v>
      </c>
    </row>
    <row r="332" hidden="1">
      <c r="A332" s="3">
        <v>331.0</v>
      </c>
      <c r="B332" s="3" t="s">
        <v>447</v>
      </c>
      <c r="C332" s="3">
        <v>-16.2</v>
      </c>
      <c r="D332" s="3">
        <v>94.4</v>
      </c>
      <c r="E332" s="3">
        <v>110.6</v>
      </c>
      <c r="F332" s="4">
        <f t="shared" si="1"/>
        <v>0.1702593726</v>
      </c>
      <c r="G332" s="4">
        <f t="shared" si="2"/>
        <v>0.9524312569</v>
      </c>
    </row>
    <row r="333" hidden="1">
      <c r="A333" s="3">
        <v>332.0</v>
      </c>
      <c r="B333" s="3" t="s">
        <v>583</v>
      </c>
      <c r="C333" s="3">
        <v>-16.2</v>
      </c>
      <c r="D333" s="3">
        <v>93.9</v>
      </c>
      <c r="E333" s="3">
        <v>110.2</v>
      </c>
      <c r="F333" s="4">
        <f t="shared" si="1"/>
        <v>0.1678886778</v>
      </c>
      <c r="G333" s="4">
        <f t="shared" si="2"/>
        <v>0.9531899818</v>
      </c>
    </row>
    <row r="334" hidden="1">
      <c r="A334" s="3">
        <v>333.0</v>
      </c>
      <c r="B334" s="3" t="s">
        <v>589</v>
      </c>
      <c r="C334" s="3">
        <v>-16.68</v>
      </c>
      <c r="D334" s="3">
        <v>93.1</v>
      </c>
      <c r="E334" s="3">
        <v>109.8</v>
      </c>
      <c r="F334" s="4">
        <f t="shared" si="1"/>
        <v>0.1611274058</v>
      </c>
      <c r="G334" s="4">
        <f t="shared" si="2"/>
        <v>0.9553368547</v>
      </c>
    </row>
    <row r="335" hidden="1">
      <c r="A335" s="3">
        <v>334.0</v>
      </c>
      <c r="B335" s="3" t="s">
        <v>462</v>
      </c>
      <c r="C335" s="3">
        <v>-16.91</v>
      </c>
      <c r="D335" s="3">
        <v>95.5</v>
      </c>
      <c r="E335" s="3">
        <v>112.4</v>
      </c>
      <c r="F335" s="4">
        <f t="shared" si="1"/>
        <v>0.1639157376</v>
      </c>
      <c r="G335" s="4">
        <f t="shared" si="2"/>
        <v>0.9544545278</v>
      </c>
    </row>
    <row r="336" hidden="1">
      <c r="A336" s="3">
        <v>335.0</v>
      </c>
      <c r="B336" s="3" t="s">
        <v>376</v>
      </c>
      <c r="C336" s="3">
        <v>-17.04</v>
      </c>
      <c r="D336" s="3">
        <v>91.7</v>
      </c>
      <c r="E336" s="3">
        <v>108.8</v>
      </c>
      <c r="F336" s="4">
        <f t="shared" si="1"/>
        <v>0.153178042</v>
      </c>
      <c r="G336" s="4">
        <f t="shared" si="2"/>
        <v>0.9578292001</v>
      </c>
    </row>
    <row r="337" hidden="1">
      <c r="A337" s="3">
        <v>336.0</v>
      </c>
      <c r="B337" s="3" t="s">
        <v>428</v>
      </c>
      <c r="C337" s="3">
        <v>-17.09</v>
      </c>
      <c r="D337" s="3">
        <v>99.9</v>
      </c>
      <c r="E337" s="3">
        <v>117.0</v>
      </c>
      <c r="F337" s="4">
        <f t="shared" si="1"/>
        <v>0.1707894643</v>
      </c>
      <c r="G337" s="4">
        <f t="shared" si="2"/>
        <v>0.9522611771</v>
      </c>
    </row>
    <row r="338" hidden="1">
      <c r="A338" s="3">
        <v>337.0</v>
      </c>
      <c r="B338" s="3" t="s">
        <v>599</v>
      </c>
      <c r="C338" s="3">
        <v>-17.14</v>
      </c>
      <c r="D338" s="3">
        <v>95.2</v>
      </c>
      <c r="E338" s="3">
        <v>112.3</v>
      </c>
      <c r="F338" s="4">
        <f t="shared" si="1"/>
        <v>0.1608470334</v>
      </c>
      <c r="G338" s="4">
        <f t="shared" si="2"/>
        <v>0.9554253399</v>
      </c>
    </row>
    <row r="339" hidden="1">
      <c r="A339" s="3">
        <v>338.0</v>
      </c>
      <c r="B339" s="3" t="s">
        <v>469</v>
      </c>
      <c r="C339" s="3">
        <v>-17.33</v>
      </c>
      <c r="D339" s="3">
        <v>90.2</v>
      </c>
      <c r="E339" s="3">
        <v>107.5</v>
      </c>
      <c r="F339" s="4">
        <f t="shared" si="1"/>
        <v>0.1474661566</v>
      </c>
      <c r="G339" s="4">
        <f t="shared" si="2"/>
        <v>0.9595991993</v>
      </c>
    </row>
    <row r="340" hidden="1">
      <c r="A340" s="3">
        <v>339.0</v>
      </c>
      <c r="B340" s="3" t="s">
        <v>557</v>
      </c>
      <c r="C340" s="3">
        <v>-17.54</v>
      </c>
      <c r="D340" s="3">
        <v>93.9</v>
      </c>
      <c r="E340" s="3">
        <v>111.4</v>
      </c>
      <c r="F340" s="4">
        <f t="shared" si="1"/>
        <v>0.1532974354</v>
      </c>
      <c r="G340" s="4">
        <f t="shared" si="2"/>
        <v>0.9577920178</v>
      </c>
    </row>
    <row r="341" hidden="1">
      <c r="A341" s="3">
        <v>340.0</v>
      </c>
      <c r="B341" s="3" t="s">
        <v>574</v>
      </c>
      <c r="C341" s="3">
        <v>-17.64</v>
      </c>
      <c r="D341" s="3">
        <v>95.5</v>
      </c>
      <c r="E341" s="3">
        <v>113.1</v>
      </c>
      <c r="F341" s="4">
        <f t="shared" si="1"/>
        <v>0.1555837542</v>
      </c>
      <c r="G341" s="4">
        <f t="shared" si="2"/>
        <v>0.9570785285</v>
      </c>
    </row>
    <row r="342" hidden="1">
      <c r="A342" s="3">
        <v>341.0</v>
      </c>
      <c r="B342" s="3" t="s">
        <v>528</v>
      </c>
      <c r="C342" s="3">
        <v>-17.85</v>
      </c>
      <c r="D342" s="3">
        <v>94.0</v>
      </c>
      <c r="E342" s="3">
        <v>111.8</v>
      </c>
      <c r="F342" s="4">
        <f t="shared" si="1"/>
        <v>0.1500552504</v>
      </c>
      <c r="G342" s="4">
        <f t="shared" si="2"/>
        <v>0.9587990292</v>
      </c>
    </row>
    <row r="343" hidden="1">
      <c r="A343" s="3">
        <v>342.0</v>
      </c>
      <c r="B343" s="3" t="s">
        <v>485</v>
      </c>
      <c r="C343" s="3">
        <v>-18.31</v>
      </c>
      <c r="D343" s="3">
        <v>89.4</v>
      </c>
      <c r="E343" s="3">
        <v>107.7</v>
      </c>
      <c r="F343" s="4">
        <f t="shared" si="1"/>
        <v>0.1344364711</v>
      </c>
      <c r="G343" s="4">
        <f t="shared" si="2"/>
        <v>0.9635731023</v>
      </c>
    </row>
    <row r="344" hidden="1">
      <c r="A344" s="3">
        <v>343.0</v>
      </c>
      <c r="B344" s="3" t="s">
        <v>383</v>
      </c>
      <c r="C344" s="3">
        <v>-18.52</v>
      </c>
      <c r="D344" s="3">
        <v>91.9</v>
      </c>
      <c r="E344" s="3">
        <v>110.4</v>
      </c>
      <c r="F344" s="4">
        <f t="shared" si="1"/>
        <v>0.1377516342</v>
      </c>
      <c r="G344" s="4">
        <f t="shared" si="2"/>
        <v>0.9625703121</v>
      </c>
    </row>
    <row r="345" hidden="1">
      <c r="A345" s="3">
        <v>344.0</v>
      </c>
      <c r="B345" s="3" t="s">
        <v>159</v>
      </c>
      <c r="C345" s="3">
        <v>-18.66</v>
      </c>
      <c r="D345" s="3">
        <v>97.8</v>
      </c>
      <c r="E345" s="3">
        <v>116.4</v>
      </c>
      <c r="F345" s="4">
        <f t="shared" si="1"/>
        <v>0.1491758594</v>
      </c>
      <c r="G345" s="4">
        <f t="shared" si="2"/>
        <v>0.9590712049</v>
      </c>
    </row>
    <row r="346" hidden="1">
      <c r="A346" s="3">
        <v>345.0</v>
      </c>
      <c r="B346" s="3" t="s">
        <v>105</v>
      </c>
      <c r="C346" s="3">
        <v>-19.7</v>
      </c>
      <c r="D346" s="3">
        <v>94.8</v>
      </c>
      <c r="E346" s="3">
        <v>114.5</v>
      </c>
      <c r="F346" s="4">
        <f t="shared" si="1"/>
        <v>0.1314664947</v>
      </c>
      <c r="G346" s="4">
        <f t="shared" si="2"/>
        <v>0.9644667344</v>
      </c>
    </row>
    <row r="347" hidden="1">
      <c r="A347" s="3">
        <v>346.0</v>
      </c>
      <c r="B347" s="3" t="s">
        <v>586</v>
      </c>
      <c r="C347" s="3">
        <v>-19.71</v>
      </c>
      <c r="D347" s="3">
        <v>91.5</v>
      </c>
      <c r="E347" s="3">
        <v>111.2</v>
      </c>
      <c r="F347" s="4">
        <f t="shared" si="1"/>
        <v>0.1245627255</v>
      </c>
      <c r="G347" s="4">
        <f t="shared" si="2"/>
        <v>0.9665268671</v>
      </c>
    </row>
    <row r="348" hidden="1">
      <c r="A348" s="3">
        <v>347.0</v>
      </c>
      <c r="B348" s="3" t="s">
        <v>465</v>
      </c>
      <c r="C348" s="3">
        <v>-19.94</v>
      </c>
      <c r="D348" s="3">
        <v>92.3</v>
      </c>
      <c r="E348" s="3">
        <v>112.2</v>
      </c>
      <c r="F348" s="4">
        <f t="shared" si="1"/>
        <v>0.1242931483</v>
      </c>
      <c r="G348" s="4">
        <f t="shared" si="2"/>
        <v>0.9666068289</v>
      </c>
    </row>
    <row r="349" hidden="1">
      <c r="A349" s="3">
        <v>348.0</v>
      </c>
      <c r="B349" s="3" t="s">
        <v>389</v>
      </c>
      <c r="C349" s="3">
        <v>-19.95</v>
      </c>
      <c r="D349" s="3">
        <v>96.6</v>
      </c>
      <c r="E349" s="3">
        <v>116.5</v>
      </c>
      <c r="F349" s="4">
        <f t="shared" si="1"/>
        <v>0.1331805112</v>
      </c>
      <c r="G349" s="4">
        <f t="shared" si="2"/>
        <v>0.9639515513</v>
      </c>
    </row>
    <row r="350" hidden="1">
      <c r="A350" s="3">
        <v>349.0</v>
      </c>
      <c r="B350" s="3" t="s">
        <v>499</v>
      </c>
      <c r="C350" s="3">
        <v>-20.07</v>
      </c>
      <c r="D350" s="3">
        <v>91.2</v>
      </c>
      <c r="E350" s="3">
        <v>111.3</v>
      </c>
      <c r="F350" s="4">
        <f t="shared" si="1"/>
        <v>0.1200725189</v>
      </c>
      <c r="G350" s="4">
        <f t="shared" si="2"/>
        <v>0.9678540708</v>
      </c>
    </row>
    <row r="351" hidden="1">
      <c r="A351" s="3">
        <v>350.0</v>
      </c>
      <c r="B351" s="3" t="s">
        <v>364</v>
      </c>
      <c r="C351" s="3">
        <v>-20.15</v>
      </c>
      <c r="D351" s="3">
        <v>92.0</v>
      </c>
      <c r="E351" s="3">
        <v>112.2</v>
      </c>
      <c r="F351" s="4">
        <f t="shared" si="1"/>
        <v>0.1207927735</v>
      </c>
      <c r="G351" s="4">
        <f t="shared" si="2"/>
        <v>0.9676418481</v>
      </c>
    </row>
    <row r="352" hidden="1">
      <c r="A352" s="3">
        <v>351.0</v>
      </c>
      <c r="B352" s="3" t="s">
        <v>385</v>
      </c>
      <c r="C352" s="3">
        <v>-21.02</v>
      </c>
      <c r="D352" s="3">
        <v>93.2</v>
      </c>
      <c r="E352" s="3">
        <v>114.2</v>
      </c>
      <c r="F352" s="4">
        <f t="shared" si="1"/>
        <v>0.1158801918</v>
      </c>
      <c r="G352" s="4">
        <f t="shared" si="2"/>
        <v>0.9690843055</v>
      </c>
    </row>
    <row r="353" hidden="1">
      <c r="A353" s="3">
        <v>352.0</v>
      </c>
      <c r="B353" s="3" t="s">
        <v>581</v>
      </c>
      <c r="C353" s="3">
        <v>-21.52</v>
      </c>
      <c r="D353" s="3">
        <v>97.8</v>
      </c>
      <c r="E353" s="3">
        <v>119.3</v>
      </c>
      <c r="F353" s="4">
        <f t="shared" si="1"/>
        <v>0.1205568475</v>
      </c>
      <c r="G353" s="4">
        <f t="shared" si="2"/>
        <v>0.9677113916</v>
      </c>
    </row>
    <row r="354" hidden="1">
      <c r="A354" s="3">
        <v>353.0</v>
      </c>
      <c r="B354" s="3" t="s">
        <v>495</v>
      </c>
      <c r="C354" s="3">
        <v>-21.92</v>
      </c>
      <c r="D354" s="3">
        <v>94.8</v>
      </c>
      <c r="E354" s="3">
        <v>116.7</v>
      </c>
      <c r="F354" s="4">
        <f t="shared" si="1"/>
        <v>0.111216858</v>
      </c>
      <c r="G354" s="4">
        <f t="shared" si="2"/>
        <v>0.9704427453</v>
      </c>
    </row>
    <row r="355" hidden="1">
      <c r="A355" s="3">
        <v>354.0</v>
      </c>
      <c r="B355" s="3" t="s">
        <v>384</v>
      </c>
      <c r="C355" s="3">
        <v>-22.06</v>
      </c>
      <c r="D355" s="3">
        <v>92.2</v>
      </c>
      <c r="E355" s="3">
        <v>114.3</v>
      </c>
      <c r="F355" s="4">
        <f t="shared" si="1"/>
        <v>0.1044560956</v>
      </c>
      <c r="G355" s="4">
        <f t="shared" si="2"/>
        <v>0.9723936875</v>
      </c>
    </row>
    <row r="356" hidden="1">
      <c r="A356" s="3">
        <v>355.0</v>
      </c>
      <c r="B356" s="3" t="s">
        <v>592</v>
      </c>
      <c r="C356" s="3">
        <v>-22.53</v>
      </c>
      <c r="D356" s="3">
        <v>92.7</v>
      </c>
      <c r="E356" s="3">
        <v>115.3</v>
      </c>
      <c r="F356" s="4">
        <f t="shared" si="1"/>
        <v>0.1014068667</v>
      </c>
      <c r="G356" s="4">
        <f t="shared" si="2"/>
        <v>0.9732665248</v>
      </c>
    </row>
    <row r="357" hidden="1">
      <c r="A357" s="3">
        <v>356.0</v>
      </c>
      <c r="B357" s="3" t="s">
        <v>591</v>
      </c>
      <c r="C357" s="3">
        <v>-24.29</v>
      </c>
      <c r="D357" s="3">
        <v>86.2</v>
      </c>
      <c r="E357" s="3">
        <v>110.5</v>
      </c>
      <c r="F357" s="4">
        <f t="shared" si="1"/>
        <v>0.07702632738</v>
      </c>
      <c r="G357" s="4">
        <f t="shared" si="2"/>
        <v>0.9800916202</v>
      </c>
    </row>
    <row r="358" hidden="1">
      <c r="A358" s="3">
        <v>357.0</v>
      </c>
      <c r="B358" s="3" t="s">
        <v>470</v>
      </c>
      <c r="C358" s="3">
        <v>-25.72</v>
      </c>
      <c r="D358" s="3">
        <v>83.2</v>
      </c>
      <c r="E358" s="3">
        <v>108.9</v>
      </c>
      <c r="F358" s="4">
        <f t="shared" si="1"/>
        <v>0.06345736277</v>
      </c>
      <c r="G358" s="4">
        <f t="shared" si="2"/>
        <v>0.9837755548</v>
      </c>
    </row>
    <row r="359" hidden="1">
      <c r="A359" s="3">
        <v>358.0</v>
      </c>
      <c r="B359" s="3" t="s">
        <v>593</v>
      </c>
      <c r="C359" s="3">
        <v>-31.57</v>
      </c>
      <c r="D359" s="3">
        <v>79.4</v>
      </c>
      <c r="E359" s="3">
        <v>110.9</v>
      </c>
      <c r="F359" s="4">
        <f t="shared" si="1"/>
        <v>0.0341810413</v>
      </c>
      <c r="G359" s="4">
        <f t="shared" si="2"/>
        <v>0.9914594882</v>
      </c>
    </row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</sheetData>
  <autoFilter ref="$H$1:$H$983">
    <filterColumn colId="0">
      <filters>
        <filter val="Yes"/>
      </filters>
    </filterColumn>
  </autoFilter>
  <drawing r:id="rId1"/>
</worksheet>
</file>